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rayap\Downloads\"/>
    </mc:Choice>
  </mc:AlternateContent>
  <xr:revisionPtr revIDLastSave="0" documentId="8_{AA68A207-6B8D-4456-9D4B-77F42947B9CF}" xr6:coauthVersionLast="47" xr6:coauthVersionMax="47" xr10:uidLastSave="{00000000-0000-0000-0000-000000000000}"/>
  <bookViews>
    <workbookView xWindow="-108" yWindow="-108" windowWidth="23256" windowHeight="12456" activeTab="2" xr2:uid="{00000000-000D-0000-FFFF-FFFF00000000}"/>
  </bookViews>
  <sheets>
    <sheet name="Table" sheetId="8" r:id="rId1"/>
    <sheet name="Analysis" sheetId="7" r:id="rId2"/>
    <sheet name="Dashboard" sheetId="9" r:id="rId3"/>
    <sheet name="DataSet" sheetId="1" r:id="rId4"/>
  </sheets>
  <definedNames>
    <definedName name="_xlnm._FilterDatabase" localSheetId="3" hidden="1">DataSet!$A$1:$P$501</definedName>
    <definedName name="ExternalData_1" localSheetId="0" hidden="1">Table!$A$1:$T$1000</definedName>
    <definedName name="Slicer_Branch_Name">#N/A</definedName>
    <definedName name="Slicer_Payment_Mode">#N/A</definedName>
    <definedName name="Slicer_Transaction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p3IYnMBNXwVyUuc2qfPNTv5QZM1FL05NUXhKkuQgu1k="/>
    </ext>
  </extLst>
</workbook>
</file>

<file path=xl/calcChain.xml><?xml version="1.0" encoding="utf-8"?>
<calcChain xmlns="http://schemas.openxmlformats.org/spreadsheetml/2006/main">
  <c r="T36" i="7" l="1"/>
  <c r="J38" i="7"/>
  <c r="J34" i="7"/>
  <c r="F36" i="7"/>
  <c r="I7" i="9"/>
  <c r="M4" i="7"/>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500" i="1"/>
  <c r="P5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BDAA5F-46AD-45DC-8501-8D9294A805DF}"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2" xr16:uid="{76C23325-054D-4177-898D-606D6455287C}"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<sst xmlns="http://schemas.openxmlformats.org/spreadsheetml/2006/main" count="11352" uniqueCount="1134">
  <si>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</si>
  <si>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</si>
  <si>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</si>
  <si>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</si>
  <si>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</si>
  <si>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</si>
  <si>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</si>
  <si>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</si>
  <si>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</si>
  <si>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</si>
  <si>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</si>
  <si>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</si>
  <si>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</si>
  <si>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</si>
  <si>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</si>
  <si>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year_month</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</si>
  <si>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</si>
  <si>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</si>
  <si>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</si>
  <si>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</si>
  <si>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</si>
  <si>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</si>
  <si>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</si>
  <si>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</si>
  <si>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</si>
  <si>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</si>
  <si>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</si>
  <si>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</si>
  <si>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</si>
  <si>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</si>
  <si>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</si>
  <si>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</si>
  <si>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</si>
  <si>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</si>
  <si>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</si>
  <si>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</si>
  <si>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</si>
  <si>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</si>
  <si>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</si>
  <si>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</si>
  <si>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</si>
  <si>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</si>
  <si>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</si>
  <si>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</si>
  <si>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</si>
  <si>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</si>
  <si>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</si>
  <si>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</si>
  <si>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</si>
  <si>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</si>
  <si>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</si>
  <si>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</si>
  <si>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</si>
  <si>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</si>
  <si>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</si>
  <si>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</si>
  <si>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</si>
  <si>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</si>
  <si>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</si>
  <si>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</si>
  <si>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</si>
  <si>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</si>
  <si>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</si>
  <si>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</si>
  <si>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</si>
  <si>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</si>
  <si>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</si>
  <si>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</si>
  <si>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</si>
  <si>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</si>
  <si>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</si>
  <si>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</si>
  <si>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</si>
  <si>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</si>
  <si>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</si>
  <si>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</si>
  <si>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</si>
  <si>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</si>
  <si>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</si>
  <si>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</si>
  <si>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</si>
  <si>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</si>
  <si>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</si>
  <si>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</si>
  <si>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</si>
  <si>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</si>
  <si>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</si>
  <si>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</si>
  <si>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</si>
  <si>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</si>
  <si>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</si>
  <si>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</si>
  <si>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</si>
  <si>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</si>
  <si>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</si>
  <si>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</si>
  <si>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</si>
  <si>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</si>
  <si>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</si>
  <si>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</si>
  <si>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</si>
  <si>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</si>
  <si>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</si>
  <si>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</si>
  <si>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</si>
  <si>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</si>
  <si>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</si>
  <si>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</si>
  <si>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</si>
  <si>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</si>
  <si>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</si>
  <si>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</si>
  <si>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</si>
  <si>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</si>
  <si>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</si>
  <si>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</si>
  <si>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</si>
  <si>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</si>
  <si>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</si>
  <si>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</si>
  <si>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</si>
  <si>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</si>
  <si>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</si>
  <si>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</si>
  <si>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</si>
  <si>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</si>
  <si>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</si>
  <si>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</si>
  <si>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</si>
  <si>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</si>
  <si>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</si>
  <si>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</si>
  <si>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</si>
  <si>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</si>
  <si>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</si>
  <si>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</si>
  <si>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</si>
  <si>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</si>
  <si>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</si>
  <si>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</si>
  <si>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</si>
  <si>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</si>
  <si>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</si>
  <si>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</si>
  <si>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</si>
  <si>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</si>
  <si>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</si>
  <si>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</si>
  <si>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</si>
  <si>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</si>
  <si>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</si>
  <si>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</si>
  <si>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</si>
  <si>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</si>
  <si>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</si>
  <si>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</si>
  <si>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</si>
  <si>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</si>
  <si>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</si>
  <si>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</si>
  <si>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</si>
  <si>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</si>
  <si>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</si>
  <si>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</si>
  <si>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</si>
  <si>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</si>
  <si>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</si>
  <si>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</si>
  <si>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</si>
  <si>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</si>
  <si>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</si>
  <si>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</si>
  <si>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</si>
  <si>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</si>
  <si>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</si>
  <si>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</si>
  <si>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</si>
  <si>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</si>
  <si>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</si>
  <si>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</si>
  <si>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</si>
  <si>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</si>
  <si>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</si>
  <si>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</si>
  <si>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</si>
  <si>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</si>
  <si>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</si>
  <si>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</si>
  <si>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</si>
  <si>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</si>
  <si>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</si>
  <si>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</si>
  <si>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</si>
  <si>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</si>
  <si>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</si>
  <si>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</si>
  <si>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</si>
  <si>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</si>
  <si>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</si>
  <si>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</si>
  <si>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</si>
  <si>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</si>
  <si>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</si>
  <si>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</si>
  <si>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</si>
  <si>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</si>
  <si>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</si>
  <si>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</si>
  <si>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</si>
  <si>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</si>
  <si>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</si>
  <si>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</si>
  <si>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</si>
  <si>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</si>
  <si>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</si>
  <si>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</si>
  <si>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</si>
  <si>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</si>
  <si>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</si>
  <si>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</si>
  <si>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</si>
  <si>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</si>
  <si>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</si>
  <si>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</si>
  <si>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</si>
  <si>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</si>
  <si>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</si>
  <si>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</si>
  <si>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</si>
  <si>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</si>
  <si>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</si>
  <si>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</si>
  <si>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</si>
  <si>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</si>
  <si>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</si>
  <si>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</si>
  <si>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</si>
  <si>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</si>
  <si>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</si>
  <si>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</si>
  <si>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</si>
  <si>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</si>
  <si>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</si>
  <si>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</si>
  <si>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</si>
  <si>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</si>
  <si>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</si>
  <si>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</si>
  <si>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</si>
  <si>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</si>
  <si>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</si>
  <si>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</si>
  <si>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</si>
  <si>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</si>
  <si>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</si>
  <si>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</si>
  <si>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</si>
  <si>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</si>
  <si>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</si>
  <si>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</si>
  <si>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</si>
  <si>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</si>
  <si>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</si>
  <si>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</si>
  <si>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</si>
  <si>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</si>
  <si>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</si>
  <si>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</si>
  <si>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</si>
  <si>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</si>
  <si>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</si>
  <si>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</si>
  <si>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</si>
  <si>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</si>
  <si>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</si>
  <si>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</si>
  <si>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</si>
  <si>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</si>
  <si>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</si>
  <si>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</si>
  <si>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</si>
  <si>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</si>
  <si>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</si>
  <si>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</si>
  <si>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</si>
  <si>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</si>
  <si>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</si>
  <si>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</si>
  <si>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</si>
  <si>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</si>
  <si>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</si>
  <si>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</si>
  <si>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</si>
  <si>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</si>
  <si>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</si>
  <si>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</si>
  <si>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</si>
  <si>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</si>
  <si>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</si>
  <si>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</si>
  <si>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</si>
  <si>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</si>
  <si>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</si>
  <si>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</si>
  <si>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</si>
  <si>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</si>
  <si>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</si>
  <si>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</si>
  <si>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</si>
  <si>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</si>
  <si>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</si>
  <si>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</si>
  <si>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</si>
  <si>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</si>
  <si>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</si>
  <si>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</si>
  <si>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</si>
  <si>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</si>
  <si>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</si>
  <si>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</si>
  <si>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</si>
  <si>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</si>
  <si>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</si>
  <si>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</si>
  <si>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</si>
  <si>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</si>
  <si>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</si>
  <si>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</si>
  <si>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</si>
  <si>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</si>
  <si>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</si>
  <si>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</si>
  <si>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</si>
  <si>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</si>
  <si>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</si>
  <si>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</si>
  <si>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</si>
  <si>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</si>
  <si>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</si>
  <si>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</si>
  <si>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</si>
  <si>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</si>
  <si>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</si>
  <si>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</si>
  <si>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</si>
  <si>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</si>
  <si>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</si>
  <si>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</si>
  <si>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</si>
  <si>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</si>
  <si>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</si>
  <si>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</si>
  <si>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</si>
  <si>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</si>
  <si>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</si>
  <si>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</si>
  <si>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</si>
  <si>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</si>
  <si>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</si>
  <si>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</si>
  <si>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</si>
  <si>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</si>
  <si>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</si>
  <si>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</si>
  <si>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</si>
  <si>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</si>
  <si>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</si>
  <si>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</si>
  <si>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</si>
  <si>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</si>
  <si>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</si>
  <si>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</si>
  <si>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</si>
  <si>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</si>
  <si>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</si>
  <si>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</si>
  <si>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</si>
  <si>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</si>
  <si>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</si>
  <si>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</si>
  <si>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</si>
  <si>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</si>
  <si>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</si>
  <si>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</si>
  <si>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</si>
  <si>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</si>
  <si>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</si>
  <si>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</si>
  <si>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</si>
  <si>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</si>
  <si>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</si>
  <si>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</si>
  <si>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</si>
  <si>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</si>
  <si>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</si>
  <si>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</si>
  <si>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</si>
  <si>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</si>
  <si>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</si>
  <si>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</si>
  <si>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</si>
  <si>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</si>
  <si>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</si>
  <si>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</si>
  <si>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</si>
  <si>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</si>
  <si>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</si>
  <si>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</si>
  <si>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</si>
  <si>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</si>
  <si>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</si>
  <si>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</si>
  <si>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</si>
  <si>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</si>
  <si>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</si>
  <si>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</si>
  <si>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</si>
  <si>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</si>
  <si>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</si>
  <si>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</si>
  <si>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</si>
  <si>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</si>
  <si>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</si>
  <si>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</si>
  <si>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</si>
  <si>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</si>
  <si>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</si>
  <si>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</si>
  <si>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</si>
  <si>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</si>
  <si>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</si>
  <si>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</si>
  <si>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</si>
  <si>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</si>
  <si>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</si>
  <si>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</si>
  <si>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</si>
  <si>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</si>
  <si>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</si>
  <si>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</si>
  <si>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</si>
  <si>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</si>
  <si>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</si>
  <si>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</si>
  <si>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</si>
  <si>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</si>
  <si>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</si>
  <si>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</si>
  <si>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</si>
  <si>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</si>
  <si>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</si>
  <si>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</si>
  <si>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</si>
  <si>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</si>
  <si>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</si>
  <si>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</si>
  <si>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</si>
  <si>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</si>
  <si>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</si>
  <si>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</si>
  <si>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</si>
  <si>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</si>
  <si>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</si>
  <si>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</si>
  <si>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</si>
  <si>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</si>
  <si>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</si>
  <si>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</si>
  <si>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</si>
  <si>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</si>
  <si>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</si>
  <si>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</si>
  <si>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</si>
  <si>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</si>
  <si>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</si>
  <si>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</si>
  <si>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</si>
  <si>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</si>
  <si>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</si>
  <si>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</si>
  <si>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</si>
  <si>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</si>
  <si>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</si>
  <si>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</si>
  <si>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</si>
  <si>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</si>
  <si>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</si>
  <si>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</si>
  <si>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</si>
  <si>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</si>
  <si>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</si>
  <si>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</si>
  <si>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</si>
  <si>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</si>
  <si>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</si>
  <si>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</si>
  <si>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</si>
  <si>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</si>
  <si>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</si>
  <si>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</si>
  <si>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</si>
  <si>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</si>
  <si>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</si>
  <si>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</si>
  <si>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</si>
  <si>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</si>
  <si>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</si>
  <si>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</si>
  <si>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</si>
  <si>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</si>
  <si>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</si>
  <si>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</si>
  <si>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</si>
  <si>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</si>
  <si>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</si>
  <si>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</si>
  <si>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</si>
  <si>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</si>
  <si>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</si>
  <si>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</si>
  <si>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</si>
  <si>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</si>
  <si>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</si>
  <si>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</si>
  <si>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</si>
  <si>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</si>
  <si>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</si>
  <si>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</si>
  <si>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</si>
  <si>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</si>
  <si>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</si>
  <si>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</si>
  <si>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</si>
  <si>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</si>
  <si>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</si>
  <si>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</si>
  <si>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</si>
  <si>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</si>
  <si>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</si>
  <si>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</si>
  <si>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</si>
  <si>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</si>
  <si>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</si>
  <si>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</si>
  <si>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</si>
  <si>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</si>
  <si>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</si>
  <si>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</si>
  <si>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</si>
  <si>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</si>
  <si>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</si>
  <si>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</si>
  <si>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</si>
  <si>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</si>
  <si>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</si>
  <si>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</si>
  <si>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</si>
  <si>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</si>
  <si>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</si>
  <si>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</si>
  <si>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</si>
  <si>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</si>
  <si>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</si>
  <si>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</si>
  <si>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</si>
  <si>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</si>
  <si>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</si>
  <si>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</si>
  <si>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</si>
  <si>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</si>
  <si>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</si>
  <si>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</si>
  <si>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</si>
  <si>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</si>
  <si>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</si>
  <si>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</si>
  <si>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</si>
  <si>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</si>
  <si>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</si>
  <si>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</si>
  <si>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</si>
  <si>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</si>
  <si>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</si>
  <si>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</si>
  <si>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</si>
  <si>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</si>
  <si>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</si>
  <si>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</si>
  <si>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</si>
  <si>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</si>
  <si>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</si>
  <si>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</si>
  <si>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</si>
  <si>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</si>
  <si>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</si>
  <si>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</si>
  <si>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</si>
  <si>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</si>
  <si>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</si>
  <si>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</si>
  <si>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</si>
  <si>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</si>
  <si>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</si>
  <si>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</si>
  <si>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</si>
  <si>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</si>
  <si>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</si>
  <si>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</si>
  <si>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</si>
  <si>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</si>
  <si>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</si>
  <si>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</si>
  <si>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</si>
  <si>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</si>
  <si>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</si>
  <si>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</si>
  <si>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</si>
  <si>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</si>
  <si>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</si>
  <si>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</si>
  <si>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</si>
  <si>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</si>
  <si>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</si>
  <si>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</si>
  <si>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</si>
  <si>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</si>
  <si>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</si>
  <si>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</si>
  <si>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</si>
  <si>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</si>
  <si>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</si>
  <si>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</si>
  <si>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</si>
  <si>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</si>
  <si>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</si>
  <si>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</si>
  <si>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</si>
  <si>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</si>
  <si>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</si>
  <si>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</si>
  <si>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</si>
  <si>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</si>
  <si>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</si>
  <si>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</si>
  <si>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</si>
  <si>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</si>
  <si>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</si>
  <si>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</si>
  <si>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</si>
  <si>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</si>
  <si>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</si>
  <si>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</si>
  <si>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</si>
  <si>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</si>
  <si>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</si>
  <si>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</si>
  <si>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</si>
  <si>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</si>
  <si>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</si>
  <si>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</si>
  <si>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</si>
  <si>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</si>
  <si>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</si>
  <si>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</si>
  <si>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</si>
  <si>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</si>
  <si>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</si>
  <si>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</si>
  <si>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</si>
  <si>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</si>
  <si>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</si>
  <si>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</si>
  <si>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</si>
  <si>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</si>
  <si>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</si>
  <si>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</si>
  <si>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</si>
  <si>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</si>
  <si>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</si>
  <si>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</si>
  <si>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</si>
  <si>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</si>
  <si>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</si>
  <si>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</si>
  <si>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</si>
  <si>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</si>
  <si>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</si>
  <si>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</si>
  <si>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</si>
  <si>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</si>
  <si>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</si>
  <si>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</si>
  <si>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</si>
  <si>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</si>
  <si>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</si>
  <si>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</si>
  <si>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</si>
  <si>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</si>
  <si>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</si>
  <si>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</si>
  <si>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</si>
  <si>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</si>
  <si>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</si>
  <si>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</si>
  <si>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</si>
  <si>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</si>
  <si>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</si>
  <si>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</si>
  <si>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</si>
  <si>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</si>
  <si>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</si>
  <si>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</si>
  <si>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</si>
  <si>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</si>
  <si>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</si>
  <si>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</si>
  <si>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</si>
  <si>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</si>
  <si>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</si>
  <si>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</si>
  <si>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</si>
  <si>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</si>
  <si>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</si>
  <si>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</si>
  <si>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</si>
  <si>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</si>
  <si>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</si>
  <si>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</si>
  <si>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</si>
  <si>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</si>
  <si>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</si>
  <si>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</si>
  <si>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</si>
  <si>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</si>
  <si>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</si>
  <si>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</si>
  <si>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</si>
  <si>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</si>
  <si>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</si>
  <si>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</si>
  <si>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</si>
  <si>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</si>
  <si>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</si>
  <si>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</si>
  <si>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</si>
  <si>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</si>
  <si>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</si>
  <si>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</si>
  <si>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</si>
  <si>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</si>
  <si>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</si>
  <si>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</si>
  <si>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</si>
  <si>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</si>
  <si>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</si>
  <si>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</si>
  <si>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</si>
  <si>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</si>
  <si>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</si>
  <si>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</si>
  <si>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</si>
  <si>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</si>
  <si>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</si>
  <si>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</si>
  <si>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</si>
  <si>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</si>
  <si>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</si>
  <si>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</si>
  <si>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</si>
  <si>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</si>
  <si>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</si>
  <si>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</si>
  <si>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</si>
  <si>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</si>
  <si>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</si>
  <si>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</si>
  <si>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</si>
  <si>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</si>
  <si>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</si>
  <si>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</si>
  <si>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</si>
  <si>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</si>
  <si>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</si>
  <si>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</si>
  <si>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</si>
  <si>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</si>
  <si>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</si>
  <si>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</si>
  <si>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</si>
  <si>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</si>
  <si>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</si>
  <si>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</si>
  <si>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</si>
  <si>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</si>
  <si>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</si>
  <si>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</si>
  <si>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</si>
  <si>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</si>
  <si>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</si>
  <si>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</si>
  <si>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</si>
  <si>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</si>
  <si>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</si>
  <si>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</si>
  <si>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</si>
  <si>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</si>
  <si>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</si>
  <si>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</si>
  <si>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</si>
  <si>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</si>
  <si>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</si>
  <si>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</si>
  <si>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</si>
  <si>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</si>
  <si>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</si>
  <si>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</si>
  <si>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</si>
  <si>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</si>
  <si>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</si>
  <si>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</si>
  <si>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</si>
  <si>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</si>
  <si>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</si>
  <si>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</si>
  <si>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</si>
  <si>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</si>
  <si>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</si>
  <si>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</si>
  <si>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</si>
  <si>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</si>
  <si>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</si>
  <si>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</si>
  <si>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</si>
  <si>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</si>
  <si>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</si>
  <si>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</si>
  <si>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</si>
  <si>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</si>
  <si>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</si>
  <si>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</si>
  <si>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</si>
  <si>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</si>
  <si>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</si>
  <si>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</si>
  <si>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</si>
  <si>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</si>
  <si>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</si>
  <si>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</si>
  <si>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</si>
  <si>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</si>
  <si>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</si>
  <si>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</si>
  <si>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</si>
  <si>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</si>
  <si>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</si>
  <si>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</si>
  <si>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</si>
  <si>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</si>
  <si>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</si>
  <si>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</si>
  <si>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</si>
  <si>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</si>
  <si>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</si>
  <si>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</si>
  <si>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</si>
  <si>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</si>
  <si>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</si>
  <si>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</si>
  <si>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</si>
  <si>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</si>
  <si>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</si>
  <si>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</si>
  <si>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</si>
  <si>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</si>
  <si>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</si>
  <si>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</si>
  <si>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</si>
  <si>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</si>
  <si>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</si>
  <si>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</si>
  <si>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</si>
  <si>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</si>
  <si>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</si>
  <si>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</si>
  <si>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</si>
  <si>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</si>
  <si>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</si>
  <si>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</si>
  <si>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</si>
  <si>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</si>
  <si>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</si>
  <si>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</si>
  <si>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</si>
  <si>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</si>
  <si>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</si>
  <si>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</si>
  <si>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</si>
  <si>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</si>
  <si>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</si>
  <si>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</si>
  <si>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</si>
  <si>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</si>
  <si>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</si>
  <si>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</si>
  <si>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</si>
  <si>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</si>
  <si>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</si>
  <si>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</si>
  <si>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</si>
  <si>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</si>
  <si>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</si>
  <si>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</si>
  <si>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</si>
  <si>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</si>
  <si>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</si>
  <si>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</si>
  <si>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</si>
  <si>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</si>
  <si>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</si>
  <si>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</si>
  <si>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</si>
  <si>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</si>
  <si>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</si>
  <si>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</si>
  <si>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</si>
  <si>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</si>
  <si>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</si>
  <si>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</si>
  <si>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</si>
  <si>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</si>
  <si>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</si>
  <si>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</si>
  <si>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</si>
  <si>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</si>
  <si>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</si>
  <si>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</si>
  <si>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</si>
  <si>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</si>
  <si>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</si>
  <si>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</si>
  <si>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</si>
  <si>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</si>
  <si>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</si>
  <si>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</si>
  <si>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</si>
  <si>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</si>
  <si>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</si>
  <si>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</si>
  <si>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</si>
  <si>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</si>
  <si>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</si>
  <si>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</si>
  <si>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</si>
  <si>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</si>
  <si>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</si>
  <si>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</si>
  <si>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</si>
  <si>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</si>
  <si>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</si>
  <si>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</si>
  <si>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</si>
  <si>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</si>
  <si>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</si>
  <si>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</si>
  <si>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</si>
  <si>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</si>
  <si>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</si>
  <si>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</si>
  <si>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</si>
  <si>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</si>
  <si>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</si>
  <si>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</si>
  <si>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</si>
  <si>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</si>
  <si>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</si>
  <si>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</si>
  <si>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</si>
  <si>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</si>
  <si>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</si>
  <si>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</si>
  <si>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</si>
  <si>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</si>
  <si>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</si>
  <si>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</si>
  <si>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</si>
  <si>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</si>
  <si>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</si>
  <si>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</si>
  <si>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</si>
  <si>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</si>
  <si>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</si>
  <si>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</si>
  <si>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</si>
  <si>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</si>
  <si>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</si>
  <si>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</si>
  <si>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</si>
  <si>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</si>
  <si>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</si>
  <si>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</si>
  <si>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</si>
  <si>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</si>
  <si>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</si>
  <si>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</si>
  <si>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</si>
  <si>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</si>
  <si>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</si>
  <si>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</si>
  <si>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</si>
  <si>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</si>
  <si>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</si>
  <si>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</si>
  <si>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</si>
  <si>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</si>
  <si>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</si>
  <si>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</si>
  <si>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</si>
  <si>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</si>
  <si>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</si>
  <si>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</si>
  <si>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</si>
  <si>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</si>
  <si>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</si>
  <si>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</si>
  <si>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</si>
  <si>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</si>
  <si>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</si>
  <si>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</si>
  <si>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</si>
  <si>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</si>
  <si>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</si>
  <si>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</si>
  <si>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</si>
  <si>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</si>
  <si>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</si>
  <si>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</si>
  <si>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</si>
  <si>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</si>
  <si>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</si>
  <si>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</si>
  <si>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</si>
  <si>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</si>
  <si>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</si>
  <si>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</si>
  <si>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</si>
  <si>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</si>
  <si>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</si>
  <si>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</si>
  <si>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</si>
  <si>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</si>
  <si>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</si>
  <si>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</si>
  <si>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</si>
  <si>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</si>
  <si>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</si>
  <si>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</si>
  <si>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</si>
  <si>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</si>
  <si>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</si>
  <si>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</si>
  <si>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</si>
  <si>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</si>
  <si>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</si>
  <si>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</si>
  <si>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</si>
  <si>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</si>
  <si>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</si>
  <si>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</si>
  <si>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</si>
  <si>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</si>
  <si>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</si>
  <si>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</si>
  <si>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</si>
  <si>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</si>
  <si>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</si>
  <si>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</si>
  <si>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</si>
  <si>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</si>
  <si>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</si>
  <si>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</si>
  <si>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</si>
  <si>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</si>
  <si>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</si>
  <si>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</si>
  <si>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</si>
  <si>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</si>
  <si>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</si>
  <si>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</si>
  <si>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</si>
  <si>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</si>
  <si>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Net Change</t>
  </si>
  <si>
    <t>Fraud Flag</t>
  </si>
  <si>
    <t>Transaction Category</t>
  </si>
  <si>
    <t>Customer Type</t>
  </si>
  <si>
    <t>Row Labels</t>
  </si>
  <si>
    <t>One-Time User</t>
  </si>
  <si>
    <t>Grand Total</t>
  </si>
  <si>
    <t>Digital</t>
  </si>
  <si>
    <t>Cash-Based</t>
  </si>
  <si>
    <t>Total Transactions</t>
  </si>
  <si>
    <t>Sum of Transaction Amount</t>
  </si>
  <si>
    <t>Count of Customer ID</t>
  </si>
  <si>
    <t>Average of Transaction Amount</t>
  </si>
  <si>
    <t>Max of Transaction Amount</t>
  </si>
  <si>
    <t>Count of Transaction ID</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</si>
  <si>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</si>
  <si>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</si>
  <si>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</si>
  <si>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</si>
  <si>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</si>
  <si>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</si>
  <si>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</si>
  <si>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</si>
  <si>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</si>
  <si>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</si>
  <si>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</si>
  <si>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</si>
  <si>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</si>
  <si>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</si>
  <si>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</si>
  <si>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</si>
  <si>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</si>
  <si>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</si>
  <si>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</si>
  <si>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</si>
  <si>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</si>
  <si>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</si>
  <si>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</si>
  <si>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</si>
  <si>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</si>
  <si>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Group1</t>
  </si>
  <si>
    <t>Group2</t>
  </si>
  <si>
    <t>Group3</t>
  </si>
  <si>
    <t>Count of Is Fraud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</si>
</sst>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quot;₹&quot;\ #,##0.0"/>
    <numFmt numFmtId="166" formatCode="&quot;₹&quot;\ #,##0"/>
  </numFmts>
  <fonts count="6" x14ac:knownFonts="1">
    <font>
      <sz val="11"/>
      <color theme="1"/>
      <name val="Calibri"/>
      <scheme val="minor"/>
    </font>
    <font>
      <b/>
      <sz val="11"/>
      <color theme="1"/>
      <name val="Calibri"/>
      <scheme val="minor"/>
    </font>
    <font>
      <sz val="11"/>
      <color theme="1"/>
      <name val="Calibri"/>
      <scheme val="minor"/>
    </font>
    <font>
      <sz val="11"/>
      <color theme="1"/>
      <name val="Calibri"/>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theme="4" tint="0.39997558519241921"/>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7">
    <xf numFmtId="0" fontId="0" fillId="0" borderId="0" xfId="0"/>
    <xf numFmtId="0" fontId="1" fillId="0" borderId="1" xfId="0" applyFont="1" applyBorder="1" applyAlignment="1">
      <alignment horizontal="center"/>
    </xf>
    <xf numFmtId="0" fontId="2" fillId="0" borderId="0" xfId="0" applyFont="1" applyAlignment="1">
      <alignment horizontal="center"/>
    </xf>
    <xf numFmtId="164" fontId="3" fillId="0" borderId="0" xfId="0" applyNumberFormat="1" applyFont="1" applyAlignment="1">
      <alignment horizontal="center"/>
    </xf>
    <xf numFmtId="0" fontId="2" fillId="0" borderId="0" xfId="0" applyFont="1" applyAlignment="1">
      <alignment horizontal="center" vertical="top"/>
    </xf>
    <xf numFmtId="0" fontId="0" fillId="0" borderId="0" xfId="0" applyAlignment="1">
      <alignment horizontal="left" wrapText="1"/>
    </xf>
    <xf numFmtId="0" fontId="1" fillId="0" borderId="2" xfId="0" applyFont="1" applyBorder="1" applyAlignment="1">
      <alignment horizontal="center"/>
    </xf>
    <xf numFmtId="0" fontId="4" fillId="0" borderId="0" xfId="0" applyFont="1"/>
    <xf numFmtId="0" fontId="0" fillId="0" borderId="0" xfId="0" pivotButton="1"/>
    <xf numFmtId="0" fontId="0" fillId="0" borderId="0" xfId="0" applyAlignment="1">
      <alignment horizontal="left"/>
    </xf>
    <xf numFmtId="14" fontId="0" fillId="0" borderId="0" xfId="0" applyNumberFormat="1"/>
    <xf numFmtId="0" fontId="4" fillId="0" borderId="0" xfId="0" applyFont="1" applyAlignment="1">
      <alignment horizontal="center"/>
    </xf>
    <xf numFmtId="165" fontId="0" fillId="0" borderId="0" xfId="0" applyNumberFormat="1"/>
    <xf numFmtId="0" fontId="1" fillId="2" borderId="3" xfId="0" applyFont="1" applyFill="1" applyBorder="1"/>
    <xf numFmtId="0" fontId="0" fillId="0" borderId="0" xfId="0" applyAlignment="1">
      <alignment horizontal="left" indent="1"/>
    </xf>
    <xf numFmtId="166" fontId="0" fillId="0" borderId="0" xfId="0" applyNumberFormat="1"/>
    <xf numFmtId="0" fontId="0" fillId="0" borderId="4" xfId="0" applyBorder="1"/>
  </cellXfs>
  <cellStyles count="1">
    <cellStyle name="Normal" xfId="0" builtinId="0"/>
  </cellStyles>
  <dxfs count="27">
    <dxf>
      <font>
        <color rgb="FF9C0006"/>
      </font>
      <fill>
        <patternFill>
          <bgColor rgb="FFFFC7CE"/>
        </patternFill>
      </fil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7" defaultTableStyle="TableStyleMedium2" defaultPivotStyle="PivotStyleLight16">
    <tableStyle name="022023" pivot="0" table="0" count="10" xr9:uid="{A5E46FAC-0C61-4767-BF6C-E93CC9414158}">
      <tableStyleElement type="wholeTable" dxfId="26"/>
      <tableStyleElement type="headerRow" dxfId="25"/>
    </tableStyle>
    <tableStyle name="Slicer Style 1" pivot="0" table="0" count="0" xr9:uid="{172F3BA6-7087-4D42-A2D0-8960D0C45DAC}"/>
    <tableStyle name="SlicerStyleDark1 2" pivot="0" table="0" count="10" xr9:uid="{C9F7F702-A7B6-418E-B694-AE561F66752B}">
      <tableStyleElement type="wholeTable" dxfId="24"/>
      <tableStyleElement type="headerRow" dxfId="23"/>
    </tableStyle>
    <tableStyle name="SlicerStyleDark1 3" pivot="0" table="0" count="10" xr9:uid="{7CE89FF3-3FFE-48C9-86B5-F8625D0C655C}">
      <tableStyleElement type="wholeTable" dxfId="22"/>
      <tableStyleElement type="headerRow" dxfId="21"/>
    </tableStyle>
    <tableStyle name="SlicerStyleDark1 4" pivot="0" table="0" count="10" xr9:uid="{18F2BAB3-C380-41CC-913A-DC762B0F7848}">
      <tableStyleElement type="wholeTable" dxfId="20"/>
      <tableStyleElement type="headerRow" dxfId="19"/>
    </tableStyle>
    <tableStyle name="SlicerStyleDark1 5" pivot="0" table="0" count="10" xr9:uid="{59FA758B-DD60-45CD-B4F5-2D76149C7815}">
      <tableStyleElement type="wholeTable" dxfId="18"/>
      <tableStyleElement type="headerRow" dxfId="17"/>
    </tableStyle>
    <tableStyle name="SlicerStyleDark1 6" pivot="0" table="0" count="10" xr9:uid="{56AABAEA-739C-4FC6-ADD4-10C3D3FC2190}">
      <tableStyleElement type="wholeTable" dxfId="16"/>
      <tableStyleElement type="headerRow" dxfId="15"/>
    </tableStyle>
  </tableStyles>
  <colors>
    <mruColors>
      <color rgb="FFFFFFFF"/>
      <color rgb="FFFF9966"/>
      <color rgb="FF703000"/>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x14:slicerStyle name="02202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 Style 1"/>
        <x14:slicerStyle name="SlicerStyleDark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[Dashboard.xlsx]Analysis!PivotTable12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Transaction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Analysis!$S$4</c:f>
              <c:strCache>
                <c:ptCount val="1"/>
                <c:pt idx="0">
                  <c:v>Total</c:v>
                </c:pt>
              </c:strCache>
            </c:strRef>
          </c:tx>
          <c:spPr>
            <a:solidFill>
              <a:schemeClr val="accent5"/>
            </a:solidFill>
            <a:ln>
              <a:noFill/>
            </a:ln>
            <a:effectLst/>
          </c:spPr>
          <c:invertIfNegative val="0"/>
          <c:cat>
            <c:strRef>
              <c:f>Analysis!$R$5:$R$10</c:f>
              <c:strCache>
                <c:ptCount val="5"/>
                <c:pt idx="0">
                  <c:v>Central</c:v>
                </c:pt>
                <c:pt idx="1">
                  <c:v>East</c:v>
                </c:pt>
                <c:pt idx="2">
                  <c:v>North</c:v>
                </c:pt>
                <c:pt idx="3">
                  <c:v>South</c:v>
                </c:pt>
                <c:pt idx="4">
                  <c:v>West</c:v>
                </c:pt>
              </c:strCache>
            </c:strRef>
          </c:cat>
          <c:val>
            <c:numRef>
              <c:f>Analysis!$S$5:$S$10</c:f>
              <c:numCache>
                <c:formatCode>"₹"\ #,##0.0</c:formatCode>
                <c:ptCount val="5"/>
                <c:pt idx="0">
                  <c:v>18162308.66</c:v>
                </c:pt>
                <c:pt idx="1">
                  <c:v>18901842.610000003</c:v>
                </c:pt>
                <c:pt idx="2">
                  <c:v>20463124.219999999</c:v>
                </c:pt>
                <c:pt idx="3">
                  <c:v>17346670.019999996</c:v>
                </c:pt>
                <c:pt idx="4">
                  <c:v>19059834.980000004</c:v>
                </c:pt>
              </c:numCache>
            </c:numRef>
          </c:val>
          <c:extLst>
            <c:ext xmlns:c16="http://schemas.microsoft.com/office/drawing/2014/chart" uri="{C3380CC4-5D6E-409C-BE32-E72D297353CC}">
              <c16:uniqueId val="{00000000-4B80-44D2-A17F-8ABB2895DAD1}"/>
            </c:ext>
          </c:extLst>
        </c:ser>
        <c:dLbls>
          <c:showLegendKey val="0"/>
          <c:showVal val="0"/>
          <c:showCatName val="0"/>
          <c:showSerName val="0"/>
          <c:showPercent val="0"/>
          <c:showBubbleSize val="0"/>
        </c:dLbls>
        <c:gapWidth val="150"/>
        <c:overlap val="100"/>
        <c:axId val="2023220336"/>
        <c:axId val="1351316272"/>
      </c:barChart>
      <c:catAx>
        <c:axId val="202322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316272"/>
        <c:crosses val="autoZero"/>
        <c:auto val="1"/>
        <c:lblAlgn val="ctr"/>
        <c:lblOffset val="100"/>
        <c:noMultiLvlLbl val="0"/>
      </c:catAx>
      <c:valAx>
        <c:axId val="1351316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low"/>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[Dashboard.xlsx]Analysis!PivotTable1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Transaction Count by Transaction Type</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Analysis!$W$25</c:f>
              <c:strCache>
                <c:ptCount val="1"/>
                <c:pt idx="0">
                  <c:v>Total</c:v>
                </c:pt>
              </c:strCache>
            </c:strRef>
          </c:tx>
          <c:spPr>
            <a:solidFill>
              <a:schemeClr val="accent3"/>
            </a:solidFill>
            <a:ln>
              <a:noFill/>
            </a:ln>
            <a:effectLst/>
          </c:spPr>
          <c:invertIfNegative val="0"/>
          <c:cat>
            <c:strRef>
              <c:f>Analysis!$V$26:$V$30</c:f>
              <c:strCache>
                <c:ptCount val="4"/>
                <c:pt idx="0">
                  <c:v>Cheque</c:v>
                </c:pt>
                <c:pt idx="1">
                  <c:v>Deposit</c:v>
                </c:pt>
                <c:pt idx="2">
                  <c:v>Online Transfer</c:v>
                </c:pt>
                <c:pt idx="3">
                  <c:v>Withdrawal</c:v>
                </c:pt>
              </c:strCache>
            </c:strRef>
          </c:cat>
          <c:val>
            <c:numRef>
              <c:f>Analysis!$W$26:$W$30</c:f>
              <c:numCache>
                <c:formatCode>General</c:formatCode>
                <c:ptCount val="4"/>
                <c:pt idx="0">
                  <c:v>108</c:v>
                </c:pt>
                <c:pt idx="1">
                  <c:v>140</c:v>
                </c:pt>
                <c:pt idx="2">
                  <c:v>136</c:v>
                </c:pt>
                <c:pt idx="3">
                  <c:v>116</c:v>
                </c:pt>
              </c:numCache>
            </c:numRef>
          </c:val>
          <c:extLst>
            <c:ext xmlns:c16="http://schemas.microsoft.com/office/drawing/2014/chart" uri="{C3380CC4-5D6E-409C-BE32-E72D297353CC}">
              <c16:uniqueId val="{00000000-7810-49C1-A69F-7B9A2D3CD80C}"/>
            </c:ext>
          </c:extLst>
        </c:ser>
        <c:dLbls>
          <c:showLegendKey val="0"/>
          <c:showVal val="0"/>
          <c:showCatName val="0"/>
          <c:showSerName val="0"/>
          <c:showPercent val="0"/>
          <c:showBubbleSize val="0"/>
        </c:dLbls>
        <c:gapWidth val="219"/>
        <c:overlap val="-27"/>
        <c:axId val="1993258447"/>
        <c:axId val="1973288047"/>
      </c:barChart>
      <c:catAx>
        <c:axId val="19932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88047"/>
        <c:crosses val="autoZero"/>
        <c:auto val="1"/>
        <c:lblAlgn val="ctr"/>
        <c:lblOffset val="100"/>
        <c:noMultiLvlLbl val="0"/>
      </c:catAx>
      <c:valAx>
        <c:axId val="197328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Monthly Transaction Amount</a:t>
            </a:r>
            <a:endParaRPr lang="en-US"/>
          </a:p>
        </c:rich>
      </c:tx>
      <c:layout>
        <c:manualLayout>
          <c:xMode val="edge"/>
          <c:yMode val="edge"/>
          <c:x val="0.2391368643574725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Analysis!$AK$13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Analysis!$AJ$14:$AJ$42</c:f>
              <c:multiLvlStrCache>
                <c:ptCount val="25"/>
                <c:lvl>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pt idx="24">
                    <c:v>2025-07</c:v>
                  </c:pt>
                </c:lvl>
                <c:lvl>
                  <c:pt idx="0">
                    <c:v>Group1</c:v>
                  </c:pt>
                  <c:pt idx="6">
                    <c:v>Group2</c:v>
                  </c:pt>
                  <c:pt idx="18">
                    <c:v>Group3</c:v>
                  </c:pt>
                </c:lvl>
              </c:multiLvlStrCache>
            </c:multiLvlStrRef>
          </c:cat>
          <c:val>
            <c:numRef>
              <c:f>Analysis!$AK$14:$AK$42</c:f>
              <c:numCache>
                <c:formatCode>General</c:formatCode>
                <c:ptCount val="25"/>
                <c:pt idx="0">
                  <c:v>3570334.2399999998</c:v>
                </c:pt>
                <c:pt idx="1">
                  <c:v>4054808.0700000003</c:v>
                </c:pt>
                <c:pt idx="2">
                  <c:v>2048422.77</c:v>
                </c:pt>
                <c:pt idx="3">
                  <c:v>3066308.9599999995</c:v>
                </c:pt>
                <c:pt idx="4">
                  <c:v>5386301.2400000002</c:v>
                </c:pt>
                <c:pt idx="5">
                  <c:v>4468757.2100000009</c:v>
                </c:pt>
                <c:pt idx="6">
                  <c:v>4858984.9300000006</c:v>
                </c:pt>
                <c:pt idx="7">
                  <c:v>3486546.7899999996</c:v>
                </c:pt>
                <c:pt idx="8">
                  <c:v>4138981.65</c:v>
                </c:pt>
                <c:pt idx="9">
                  <c:v>5107154.71</c:v>
                </c:pt>
                <c:pt idx="10">
                  <c:v>3764278.4999999991</c:v>
                </c:pt>
                <c:pt idx="11">
                  <c:v>3872263.0800000005</c:v>
                </c:pt>
                <c:pt idx="12">
                  <c:v>2422662.2999999998</c:v>
                </c:pt>
                <c:pt idx="13">
                  <c:v>3391426.1499999994</c:v>
                </c:pt>
                <c:pt idx="14">
                  <c:v>3523998.87</c:v>
                </c:pt>
                <c:pt idx="15">
                  <c:v>4513182.0499999989</c:v>
                </c:pt>
                <c:pt idx="16">
                  <c:v>4747001.53</c:v>
                </c:pt>
                <c:pt idx="17">
                  <c:v>3342404.4400000004</c:v>
                </c:pt>
                <c:pt idx="18">
                  <c:v>5263711.3099999996</c:v>
                </c:pt>
                <c:pt idx="19">
                  <c:v>4645795.29</c:v>
                </c:pt>
                <c:pt idx="20">
                  <c:v>3676813.52</c:v>
                </c:pt>
                <c:pt idx="21">
                  <c:v>3988613.6300000004</c:v>
                </c:pt>
                <c:pt idx="22">
                  <c:v>2262880.6599999997</c:v>
                </c:pt>
                <c:pt idx="23">
                  <c:v>3569418.01</c:v>
                </c:pt>
                <c:pt idx="24">
                  <c:v>762730.58</c:v>
                </c:pt>
              </c:numCache>
            </c:numRef>
          </c:val>
          <c:smooth val="0"/>
          <c:extLst>
            <c:ext xmlns:c16="http://schemas.microsoft.com/office/drawing/2014/chart" uri="{C3380CC4-5D6E-409C-BE32-E72D297353CC}">
              <c16:uniqueId val="{00000000-7D77-49AB-AC5A-BC0A83C43E0F}"/>
            </c:ext>
          </c:extLst>
        </c:ser>
        <c:dLbls>
          <c:showLegendKey val="0"/>
          <c:showVal val="0"/>
          <c:showCatName val="0"/>
          <c:showSerName val="0"/>
          <c:showPercent val="0"/>
          <c:showBubbleSize val="0"/>
        </c:dLbls>
        <c:marker val="1"/>
        <c:smooth val="0"/>
        <c:axId val="803175247"/>
        <c:axId val="1973302447"/>
      </c:lineChart>
      <c:catAx>
        <c:axId val="80317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02447"/>
        <c:crosses val="autoZero"/>
        <c:auto val="1"/>
        <c:lblAlgn val="ctr"/>
        <c:lblOffset val="100"/>
        <c:noMultiLvlLbl val="0"/>
      </c:catAx>
      <c:valAx>
        <c:axId val="197330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7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40" b="0" i="0" u="none" strike="noStrike" kern="1200" spc="0" baseline="0">
                <a:solidFill>
                  <a:srgbClr val="000000">
                    <a:lumMod val="65000"/>
                    <a:lumOff val="35000"/>
                  </a:srgbClr>
                </a:solidFill>
                <a:latin typeface="+mn-lt"/>
                <a:ea typeface="+mn-ea"/>
                <a:cs typeface="+mn-cs"/>
              </a:defRPr>
            </a:pPr>
            <a:r>
              <a:rPr lang="en-IN" b="1"/>
              <a:t>Transaction Status Distribution</a:t>
            </a:r>
            <a:r>
              <a:rPr lang="en-IN"/>
              <a:t> </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4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Analysis!$AY$13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FF-4293-9BB7-53CFB7D2EC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FF-4293-9BB7-53CFB7D2EC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FF-4293-9BB7-53CFB7D2EC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FF-4293-9BB7-53CFB7D2EC84}"/>
              </c:ext>
            </c:extLst>
          </c:dPt>
          <c:cat>
            <c:strRef>
              <c:f>Analysis!$AX$14:$AX$18</c:f>
              <c:strCache>
                <c:ptCount val="4"/>
                <c:pt idx="0">
                  <c:v>Completed</c:v>
                </c:pt>
                <c:pt idx="1">
                  <c:v>Failed</c:v>
                </c:pt>
                <c:pt idx="2">
                  <c:v>Pending</c:v>
                </c:pt>
                <c:pt idx="3">
                  <c:v>Reversed</c:v>
                </c:pt>
              </c:strCache>
            </c:strRef>
          </c:cat>
          <c:val>
            <c:numRef>
              <c:f>Analysis!$AY$14:$AY$18</c:f>
              <c:numCache>
                <c:formatCode>General</c:formatCode>
                <c:ptCount val="4"/>
                <c:pt idx="0">
                  <c:v>434</c:v>
                </c:pt>
                <c:pt idx="1">
                  <c:v>26</c:v>
                </c:pt>
                <c:pt idx="2">
                  <c:v>19</c:v>
                </c:pt>
                <c:pt idx="3">
                  <c:v>21</c:v>
                </c:pt>
              </c:numCache>
            </c:numRef>
          </c:val>
          <c:extLst>
            <c:ext xmlns:c16="http://schemas.microsoft.com/office/drawing/2014/chart" uri="{C3380CC4-5D6E-409C-BE32-E72D297353CC}">
              <c16:uniqueId val="{00000000-96ED-4F04-B755-EA37F8FE69C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Transaction Amount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Analysis!$AE$30</c:f>
              <c:strCache>
                <c:ptCount val="1"/>
                <c:pt idx="0">
                  <c:v>Total</c:v>
                </c:pt>
              </c:strCache>
            </c:strRef>
          </c:tx>
          <c:spPr>
            <a:solidFill>
              <a:schemeClr val="accent1"/>
            </a:solidFill>
            <a:ln>
              <a:noFill/>
            </a:ln>
            <a:effectLst/>
          </c:spPr>
          <c:invertIfNegative val="0"/>
          <c:cat>
            <c:strRef>
              <c:f>Analysis!$AD$31:$AD$36</c:f>
              <c:strCache>
                <c:ptCount val="5"/>
                <c:pt idx="0">
                  <c:v>Cash</c:v>
                </c:pt>
                <c:pt idx="1">
                  <c:v>Credit Card</c:v>
                </c:pt>
                <c:pt idx="2">
                  <c:v>Debit Card</c:v>
                </c:pt>
                <c:pt idx="3">
                  <c:v>Net Banking</c:v>
                </c:pt>
                <c:pt idx="4">
                  <c:v>UPI</c:v>
                </c:pt>
              </c:strCache>
            </c:strRef>
          </c:cat>
          <c:val>
            <c:numRef>
              <c:f>Analysis!$AE$31:$AE$36</c:f>
              <c:numCache>
                <c:formatCode>General</c:formatCode>
                <c:ptCount val="5"/>
                <c:pt idx="0">
                  <c:v>98</c:v>
                </c:pt>
                <c:pt idx="1">
                  <c:v>100</c:v>
                </c:pt>
                <c:pt idx="2">
                  <c:v>128</c:v>
                </c:pt>
                <c:pt idx="3">
                  <c:v>80</c:v>
                </c:pt>
                <c:pt idx="4">
                  <c:v>94</c:v>
                </c:pt>
              </c:numCache>
            </c:numRef>
          </c:val>
          <c:extLst>
            <c:ext xmlns:c16="http://schemas.microsoft.com/office/drawing/2014/chart" uri="{C3380CC4-5D6E-409C-BE32-E72D297353CC}">
              <c16:uniqueId val="{00000000-2BE8-42DD-BD07-FF375E29B74D}"/>
            </c:ext>
          </c:extLst>
        </c:ser>
        <c:dLbls>
          <c:showLegendKey val="0"/>
          <c:showVal val="0"/>
          <c:showCatName val="0"/>
          <c:showSerName val="0"/>
          <c:showPercent val="0"/>
          <c:showBubbleSize val="0"/>
        </c:dLbls>
        <c:gapWidth val="150"/>
        <c:overlap val="100"/>
        <c:axId val="1993287215"/>
        <c:axId val="1973289007"/>
      </c:barChart>
      <c:catAx>
        <c:axId val="19932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89007"/>
        <c:crosses val="autoZero"/>
        <c:auto val="1"/>
        <c:lblAlgn val="ctr"/>
        <c:lblOffset val="100"/>
        <c:noMultiLvlLbl val="0"/>
      </c:catAx>
      <c:valAx>
        <c:axId val="197328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8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Transaction Amount by Account Type</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chemeClr val="bg2"/>
            </a:solidFill>
          </a:ln>
          <a:effectLst/>
        </c:spPr>
      </c:pivotFmt>
    </c:pivotFmts>
    <c:plotArea>
      <c:layout/>
      <c:barChart>
        <c:barDir val="col"/>
        <c:grouping val="clustered"/>
        <c:varyColors val="0"/>
        <c:ser>
          <c:idx val="0"/>
          <c:order val="0"/>
          <c:tx>
            <c:strRef>
              <c:f>Analysis!$AF$40</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solidFill>
                  <a:schemeClr val="bg2"/>
                </a:solidFill>
              </a:ln>
              <a:effectLst/>
            </c:spPr>
            <c:extLst>
              <c:ext xmlns:c16="http://schemas.microsoft.com/office/drawing/2014/chart" uri="{C3380CC4-5D6E-409C-BE32-E72D297353CC}">
                <c16:uniqueId val="{00000002-9BDC-40B0-93C4-DEA2B3776344}"/>
              </c:ext>
            </c:extLst>
          </c:dPt>
          <c:cat>
            <c:strRef>
              <c:f>Analysis!$AE$41:$AE$45</c:f>
              <c:strCache>
                <c:ptCount val="4"/>
                <c:pt idx="0">
                  <c:v>Current</c:v>
                </c:pt>
                <c:pt idx="1">
                  <c:v>Fixed Deposit</c:v>
                </c:pt>
                <c:pt idx="2">
                  <c:v>Recurring Deposit</c:v>
                </c:pt>
                <c:pt idx="3">
                  <c:v>Savings</c:v>
                </c:pt>
              </c:strCache>
            </c:strRef>
          </c:cat>
          <c:val>
            <c:numRef>
              <c:f>Analysis!$AF$41:$AF$45</c:f>
              <c:numCache>
                <c:formatCode>General</c:formatCode>
                <c:ptCount val="4"/>
                <c:pt idx="0">
                  <c:v>21355141.700000003</c:v>
                </c:pt>
                <c:pt idx="1">
                  <c:v>23006905.11999999</c:v>
                </c:pt>
                <c:pt idx="2">
                  <c:v>26839605.480000012</c:v>
                </c:pt>
                <c:pt idx="3">
                  <c:v>22732128.189999994</c:v>
                </c:pt>
              </c:numCache>
            </c:numRef>
          </c:val>
          <c:extLst>
            <c:ext xmlns:c16="http://schemas.microsoft.com/office/drawing/2014/chart" uri="{C3380CC4-5D6E-409C-BE32-E72D297353CC}">
              <c16:uniqueId val="{00000000-9BDC-40B0-93C4-DEA2B3776344}"/>
            </c:ext>
          </c:extLst>
        </c:ser>
        <c:dLbls>
          <c:showLegendKey val="0"/>
          <c:showVal val="0"/>
          <c:showCatName val="0"/>
          <c:showSerName val="0"/>
          <c:showPercent val="0"/>
          <c:showBubbleSize val="0"/>
        </c:dLbls>
        <c:gapWidth val="219"/>
        <c:overlap val="-27"/>
        <c:axId val="896553071"/>
        <c:axId val="1973202127"/>
      </c:barChart>
      <c:catAx>
        <c:axId val="89655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02127"/>
        <c:crosses val="autoZero"/>
        <c:auto val="1"/>
        <c:lblAlgn val="ctr"/>
        <c:lblOffset val="100"/>
        <c:noMultiLvlLbl val="0"/>
      </c:catAx>
      <c:valAx>
        <c:axId val="197320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5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Fraud Transactions by Region</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Analysis!$AL$50</c:f>
              <c:strCache>
                <c:ptCount val="1"/>
                <c:pt idx="0">
                  <c:v>Total</c:v>
                </c:pt>
              </c:strCache>
            </c:strRef>
          </c:tx>
          <c:spPr>
            <a:solidFill>
              <a:schemeClr val="accent1"/>
            </a:solidFill>
            <a:ln>
              <a:noFill/>
            </a:ln>
            <a:effectLst/>
          </c:spPr>
          <c:invertIfNegative val="0"/>
          <c:cat>
            <c:strRef>
              <c:f>Analysis!$AK$51:$AK$56</c:f>
              <c:strCache>
                <c:ptCount val="5"/>
                <c:pt idx="0">
                  <c:v>Central</c:v>
                </c:pt>
                <c:pt idx="1">
                  <c:v>East</c:v>
                </c:pt>
                <c:pt idx="2">
                  <c:v>North</c:v>
                </c:pt>
                <c:pt idx="3">
                  <c:v>South</c:v>
                </c:pt>
                <c:pt idx="4">
                  <c:v>West</c:v>
                </c:pt>
              </c:strCache>
            </c:strRef>
          </c:cat>
          <c:val>
            <c:numRef>
              <c:f>Analysis!$AL$51:$AL$56</c:f>
              <c:numCache>
                <c:formatCode>General</c:formatCode>
                <c:ptCount val="5"/>
                <c:pt idx="0">
                  <c:v>98</c:v>
                </c:pt>
                <c:pt idx="1">
                  <c:v>94</c:v>
                </c:pt>
                <c:pt idx="2">
                  <c:v>110</c:v>
                </c:pt>
                <c:pt idx="3">
                  <c:v>97</c:v>
                </c:pt>
                <c:pt idx="4">
                  <c:v>101</c:v>
                </c:pt>
              </c:numCache>
            </c:numRef>
          </c:val>
          <c:extLst>
            <c:ext xmlns:c16="http://schemas.microsoft.com/office/drawing/2014/chart" uri="{C3380CC4-5D6E-409C-BE32-E72D297353CC}">
              <c16:uniqueId val="{00000000-3F0D-4E26-8786-190E9D703ADD}"/>
            </c:ext>
          </c:extLst>
        </c:ser>
        <c:dLbls>
          <c:showLegendKey val="0"/>
          <c:showVal val="0"/>
          <c:showCatName val="0"/>
          <c:showSerName val="0"/>
          <c:showPercent val="0"/>
          <c:showBubbleSize val="0"/>
        </c:dLbls>
        <c:gapWidth val="219"/>
        <c:overlap val="-27"/>
        <c:axId val="896654223"/>
        <c:axId val="1973255887"/>
      </c:barChart>
      <c:catAx>
        <c:axId val="89665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55887"/>
        <c:crosses val="autoZero"/>
        <c:auto val="1"/>
        <c:lblAlgn val="ctr"/>
        <c:lblOffset val="100"/>
        <c:noMultiLvlLbl val="0"/>
      </c:catAx>
      <c:valAx>
        <c:axId val="197325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65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Customer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Analysis!$AQ$50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2E-4DF2-B99E-F3AB2BCE26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2E-4DF2-B99E-F3AB2BCE26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2E-4DF2-B99E-F3AB2BCE26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2E-4DF2-B99E-F3AB2BCE26CF}"/>
              </c:ext>
            </c:extLst>
          </c:dPt>
          <c:cat>
            <c:strRef>
              <c:f>Analysis!$AP$51:$AP$55</c:f>
              <c:strCache>
                <c:ptCount val="4"/>
                <c:pt idx="0">
                  <c:v>Current</c:v>
                </c:pt>
                <c:pt idx="1">
                  <c:v>Fixed Deposit</c:v>
                </c:pt>
                <c:pt idx="2">
                  <c:v>Recurring Deposit</c:v>
                </c:pt>
                <c:pt idx="3">
                  <c:v>Savings</c:v>
                </c:pt>
              </c:strCache>
            </c:strRef>
          </c:cat>
          <c:val>
            <c:numRef>
              <c:f>Analysis!$AQ$51:$AQ$55</c:f>
              <c:numCache>
                <c:formatCode>General</c:formatCode>
                <c:ptCount val="4"/>
                <c:pt idx="0">
                  <c:v>126</c:v>
                </c:pt>
                <c:pt idx="1">
                  <c:v>120</c:v>
                </c:pt>
                <c:pt idx="2">
                  <c:v>137</c:v>
                </c:pt>
                <c:pt idx="3">
                  <c:v>117</c:v>
                </c:pt>
              </c:numCache>
            </c:numRef>
          </c:val>
          <c:extLst>
            <c:ext xmlns:c16="http://schemas.microsoft.com/office/drawing/2014/chart" uri="{C3380CC4-5D6E-409C-BE32-E72D297353CC}">
              <c16:uniqueId val="{00000000-69D8-4D93-800B-3743A36B8C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Transaction Count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Analysis!$AU$50</c:f>
              <c:strCache>
                <c:ptCount val="1"/>
                <c:pt idx="0">
                  <c:v>Total</c:v>
                </c:pt>
              </c:strCache>
            </c:strRef>
          </c:tx>
          <c:spPr>
            <a:solidFill>
              <a:schemeClr val="accent1"/>
            </a:solidFill>
            <a:ln>
              <a:noFill/>
            </a:ln>
            <a:effectLst/>
          </c:spPr>
          <c:invertIfNegative val="0"/>
          <c:cat>
            <c:strRef>
              <c:f>Analysis!$AT$51:$AT$76</c:f>
              <c:strCache>
                <c:ptCount val="25"/>
                <c:pt idx="0">
                  <c:v>Ahmedabad</c:v>
                </c:pt>
                <c:pt idx="1">
                  <c:v>Amritsar</c:v>
                </c:pt>
                <c:pt idx="2">
                  <c:v>Bangalore</c:v>
                </c:pt>
                <c:pt idx="3">
                  <c:v>Bhopal</c:v>
                </c:pt>
                <c:pt idx="4">
                  <c:v>Bhubaneswar</c:v>
                </c:pt>
                <c:pt idx="5">
                  <c:v>Chandigarh</c:v>
                </c:pt>
                <c:pt idx="6">
                  <c:v>Chennai</c:v>
                </c:pt>
                <c:pt idx="7">
                  <c:v>Coimbatore</c:v>
                </c:pt>
                <c:pt idx="8">
                  <c:v>Delhi</c:v>
                </c:pt>
                <c:pt idx="9">
                  <c:v>Guwahati</c:v>
                </c:pt>
                <c:pt idx="10">
                  <c:v>Gwalior</c:v>
                </c:pt>
                <c:pt idx="11">
                  <c:v>Hyderabad</c:v>
                </c:pt>
                <c:pt idx="12">
                  <c:v>Indore</c:v>
                </c:pt>
                <c:pt idx="13">
                  <c:v>Jabalpur</c:v>
                </c:pt>
                <c:pt idx="14">
                  <c:v>Jaipur</c:v>
                </c:pt>
                <c:pt idx="15">
                  <c:v>Kochi</c:v>
                </c:pt>
                <c:pt idx="16">
                  <c:v>Kolkata</c:v>
                </c:pt>
                <c:pt idx="17">
                  <c:v>Lucknow</c:v>
                </c:pt>
                <c:pt idx="18">
                  <c:v>Mumbai</c:v>
                </c:pt>
                <c:pt idx="19">
                  <c:v>Nagpur</c:v>
                </c:pt>
                <c:pt idx="20">
                  <c:v>Patna</c:v>
                </c:pt>
                <c:pt idx="21">
                  <c:v>Pune</c:v>
                </c:pt>
                <c:pt idx="22">
                  <c:v>Raipur</c:v>
                </c:pt>
                <c:pt idx="23">
                  <c:v>Ranchi</c:v>
                </c:pt>
                <c:pt idx="24">
                  <c:v>Surat</c:v>
                </c:pt>
              </c:strCache>
            </c:strRef>
          </c:cat>
          <c:val>
            <c:numRef>
              <c:f>Analysis!$AU$51:$AU$76</c:f>
              <c:numCache>
                <c:formatCode>General</c:formatCode>
                <c:ptCount val="25"/>
                <c:pt idx="0">
                  <c:v>26</c:v>
                </c:pt>
                <c:pt idx="1">
                  <c:v>20</c:v>
                </c:pt>
                <c:pt idx="2">
                  <c:v>17</c:v>
                </c:pt>
                <c:pt idx="3">
                  <c:v>20</c:v>
                </c:pt>
                <c:pt idx="4">
                  <c:v>22</c:v>
                </c:pt>
                <c:pt idx="5">
                  <c:v>23</c:v>
                </c:pt>
                <c:pt idx="6">
                  <c:v>28</c:v>
                </c:pt>
                <c:pt idx="7">
                  <c:v>17</c:v>
                </c:pt>
                <c:pt idx="8">
                  <c:v>22</c:v>
                </c:pt>
                <c:pt idx="9">
                  <c:v>22</c:v>
                </c:pt>
                <c:pt idx="10">
                  <c:v>19</c:v>
                </c:pt>
                <c:pt idx="11">
                  <c:v>19</c:v>
                </c:pt>
                <c:pt idx="12">
                  <c:v>28</c:v>
                </c:pt>
                <c:pt idx="13">
                  <c:v>16</c:v>
                </c:pt>
                <c:pt idx="14">
                  <c:v>22</c:v>
                </c:pt>
                <c:pt idx="15">
                  <c:v>16</c:v>
                </c:pt>
                <c:pt idx="16">
                  <c:v>19</c:v>
                </c:pt>
                <c:pt idx="17">
                  <c:v>23</c:v>
                </c:pt>
                <c:pt idx="18">
                  <c:v>12</c:v>
                </c:pt>
                <c:pt idx="19">
                  <c:v>22</c:v>
                </c:pt>
                <c:pt idx="20">
                  <c:v>17</c:v>
                </c:pt>
                <c:pt idx="21">
                  <c:v>20</c:v>
                </c:pt>
                <c:pt idx="22">
                  <c:v>15</c:v>
                </c:pt>
                <c:pt idx="23">
                  <c:v>14</c:v>
                </c:pt>
                <c:pt idx="24">
                  <c:v>21</c:v>
                </c:pt>
              </c:numCache>
            </c:numRef>
          </c:val>
          <c:extLst>
            <c:ext xmlns:c16="http://schemas.microsoft.com/office/drawing/2014/chart" uri="{C3380CC4-5D6E-409C-BE32-E72D297353CC}">
              <c16:uniqueId val="{00000000-E21E-4512-A530-FF77758EE9A3}"/>
            </c:ext>
          </c:extLst>
        </c:ser>
        <c:dLbls>
          <c:showLegendKey val="0"/>
          <c:showVal val="0"/>
          <c:showCatName val="0"/>
          <c:showSerName val="0"/>
          <c:showPercent val="0"/>
          <c:showBubbleSize val="0"/>
        </c:dLbls>
        <c:gapWidth val="150"/>
        <c:overlap val="100"/>
        <c:axId val="896586015"/>
        <c:axId val="1973291407"/>
      </c:barChart>
      <c:catAx>
        <c:axId val="89658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91407"/>
        <c:crosses val="autoZero"/>
        <c:auto val="1"/>
        <c:lblAlgn val="ctr"/>
        <c:lblOffset val="100"/>
        <c:noMultiLvlLbl val="0"/>
      </c:catAx>
      <c:valAx>
        <c:axId val="197329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8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Transaction Count by Transaction Category</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Analysis!$BD$52</c:f>
              <c:strCache>
                <c:ptCount val="1"/>
                <c:pt idx="0">
                  <c:v>Total</c:v>
                </c:pt>
              </c:strCache>
            </c:strRef>
          </c:tx>
          <c:spPr>
            <a:solidFill>
              <a:schemeClr val="accent1"/>
            </a:solidFill>
            <a:ln>
              <a:noFill/>
            </a:ln>
            <a:effectLst/>
          </c:spPr>
          <c:invertIfNegative val="0"/>
          <c:cat>
            <c:strRef>
              <c:f>Analysis!$BC$53:$BC$55</c:f>
              <c:strCache>
                <c:ptCount val="2"/>
                <c:pt idx="0">
                  <c:v>Cash-Based</c:v>
                </c:pt>
                <c:pt idx="1">
                  <c:v>Digital</c:v>
                </c:pt>
              </c:strCache>
            </c:strRef>
          </c:cat>
          <c:val>
            <c:numRef>
              <c:f>Analysis!$BD$53:$BD$55</c:f>
              <c:numCache>
                <c:formatCode>General</c:formatCode>
                <c:ptCount val="2"/>
                <c:pt idx="0">
                  <c:v>406</c:v>
                </c:pt>
                <c:pt idx="1">
                  <c:v>94</c:v>
                </c:pt>
              </c:numCache>
            </c:numRef>
          </c:val>
          <c:extLst>
            <c:ext xmlns:c16="http://schemas.microsoft.com/office/drawing/2014/chart" uri="{C3380CC4-5D6E-409C-BE32-E72D297353CC}">
              <c16:uniqueId val="{00000000-E472-4D82-A944-4CE91C247483}"/>
            </c:ext>
          </c:extLst>
        </c:ser>
        <c:dLbls>
          <c:showLegendKey val="0"/>
          <c:showVal val="0"/>
          <c:showCatName val="0"/>
          <c:showSerName val="0"/>
          <c:showPercent val="0"/>
          <c:showBubbleSize val="0"/>
        </c:dLbls>
        <c:gapWidth val="219"/>
        <c:overlap val="-27"/>
        <c:axId val="803201231"/>
        <c:axId val="1973214607"/>
      </c:barChart>
      <c:catAx>
        <c:axId val="80320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14607"/>
        <c:crosses val="autoZero"/>
        <c:auto val="1"/>
        <c:lblAlgn val="ctr"/>
        <c:lblOffset val="100"/>
        <c:noMultiLvlLbl val="0"/>
      </c:catAx>
      <c:valAx>
        <c:axId val="197321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20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[Dashboard.xlsx]Analysis!PivotTable12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1">
                    <a:lumMod val="75000"/>
                  </a:schemeClr>
                </a:solidFill>
                <a:latin typeface="Arial Black" panose="020B0A04020102020204" pitchFamily="34" charset="0"/>
              </a:rPr>
              <a:t>Transaction by Region </a:t>
            </a:r>
            <a:endParaRPr lang="en-US" sz="1200" b="1">
              <a:solidFill>
                <a:schemeClr val="accent1">
                  <a:lumMod val="7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
        <c:idx val="4"/>
        <c:spPr>
          <a:solidFill>
            <a:schemeClr val="accent4">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6">
              <a:lumMod val="75000"/>
            </a:schemeClr>
          </a:solidFill>
          <a:ln>
            <a:noFill/>
          </a:ln>
          <a:effectLst/>
        </c:spPr>
      </c:pivotFmt>
      <c:pivotFmt>
        <c:idx val="7"/>
        <c:spPr>
          <a:solidFill>
            <a:srgbClr val="FFC000"/>
          </a:solidFill>
          <a:ln>
            <a:noFill/>
          </a:ln>
          <a:effectLst/>
        </c:spPr>
      </c:pivotFmt>
    </c:pivotFmts>
    <c:plotArea>
      <c:layout/>
      <c:barChart>
        <c:barDir val="col"/>
        <c:grouping val="stacked"/>
        <c:varyColors val="0"/>
        <c:ser>
          <c:idx val="0"/>
          <c:order val="0"/>
          <c:tx>
            <c:strRef>
              <c:f>Analysis!$S$4</c:f>
              <c:strCache>
                <c:ptCount val="1"/>
                <c:pt idx="0">
                  <c:v>Total</c:v>
                </c:pt>
              </c:strCache>
            </c:strRef>
          </c:tx>
          <c:spPr>
            <a:solidFill>
              <a:schemeClr val="accent5"/>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AC76-4E07-97C1-325D2AFAA9AD}"/>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2-AC76-4E07-97C1-325D2AFAA9AD}"/>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3-AC76-4E07-97C1-325D2AFAA9AD}"/>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AC76-4E07-97C1-325D2AFAA9AD}"/>
              </c:ext>
            </c:extLst>
          </c:dPt>
          <c:dPt>
            <c:idx val="4"/>
            <c:invertIfNegative val="0"/>
            <c:bubble3D val="0"/>
            <c:spPr>
              <a:solidFill>
                <a:srgbClr val="FFC000"/>
              </a:solidFill>
              <a:ln>
                <a:noFill/>
              </a:ln>
              <a:effectLst/>
            </c:spPr>
            <c:extLst>
              <c:ext xmlns:c16="http://schemas.microsoft.com/office/drawing/2014/chart" uri="{C3380CC4-5D6E-409C-BE32-E72D297353CC}">
                <c16:uniqueId val="{00000005-AC76-4E07-97C1-325D2AFAA9AD}"/>
              </c:ext>
            </c:extLst>
          </c:dPt>
          <c:cat>
            <c:strRef>
              <c:f>Analysis!$R$5:$R$10</c:f>
              <c:strCache>
                <c:ptCount val="5"/>
                <c:pt idx="0">
                  <c:v>Central</c:v>
                </c:pt>
                <c:pt idx="1">
                  <c:v>East</c:v>
                </c:pt>
                <c:pt idx="2">
                  <c:v>North</c:v>
                </c:pt>
                <c:pt idx="3">
                  <c:v>South</c:v>
                </c:pt>
                <c:pt idx="4">
                  <c:v>West</c:v>
                </c:pt>
              </c:strCache>
            </c:strRef>
          </c:cat>
          <c:val>
            <c:numRef>
              <c:f>Analysis!$S$5:$S$10</c:f>
              <c:numCache>
                <c:formatCode>"₹"\ #,##0.0</c:formatCode>
                <c:ptCount val="5"/>
                <c:pt idx="0">
                  <c:v>18162308.66</c:v>
                </c:pt>
                <c:pt idx="1">
                  <c:v>18901842.610000003</c:v>
                </c:pt>
                <c:pt idx="2">
                  <c:v>20463124.219999999</c:v>
                </c:pt>
                <c:pt idx="3">
                  <c:v>17346670.019999996</c:v>
                </c:pt>
                <c:pt idx="4">
                  <c:v>19059834.980000004</c:v>
                </c:pt>
              </c:numCache>
            </c:numRef>
          </c:val>
          <c:extLst>
            <c:ext xmlns:c16="http://schemas.microsoft.com/office/drawing/2014/chart" uri="{C3380CC4-5D6E-409C-BE32-E72D297353CC}">
              <c16:uniqueId val="{00000000-AC76-4E07-97C1-325D2AFAA9AD}"/>
            </c:ext>
          </c:extLst>
        </c:ser>
        <c:dLbls>
          <c:showLegendKey val="0"/>
          <c:showVal val="0"/>
          <c:showCatName val="0"/>
          <c:showSerName val="0"/>
          <c:showPercent val="0"/>
          <c:showBubbleSize val="0"/>
        </c:dLbls>
        <c:gapWidth val="150"/>
        <c:overlap val="100"/>
        <c:axId val="2023220336"/>
        <c:axId val="1351316272"/>
      </c:barChart>
      <c:catAx>
        <c:axId val="202322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316272"/>
        <c:crosses val="autoZero"/>
        <c:auto val="1"/>
        <c:lblAlgn val="ctr"/>
        <c:lblOffset val="100"/>
        <c:noMultiLvlLbl val="0"/>
      </c:catAx>
      <c:valAx>
        <c:axId val="1351316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low"/>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accent1">
                    <a:lumMod val="75000"/>
                  </a:schemeClr>
                </a:solidFill>
                <a:latin typeface="Arial Black" panose="020B0A04020102020204" pitchFamily="34" charset="0"/>
              </a:rPr>
              <a:t>Transaction  by Payments</a:t>
            </a:r>
            <a:endParaRPr lang="en-US" sz="1200" b="1">
              <a:solidFill>
                <a:schemeClr val="accent1">
                  <a:lumMod val="75000"/>
                </a:schemeClr>
              </a:solidFill>
              <a:latin typeface="Arial Black" panose="020B0A04020102020204" pitchFamily="34" charset="0"/>
            </a:endParaRPr>
          </a:p>
        </c:rich>
      </c:tx>
      <c:layout>
        <c:manualLayout>
          <c:xMode val="edge"/>
          <c:yMode val="edge"/>
          <c:x val="0.16344086021505377"/>
          <c:y val="3.1806615776081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chemeClr val="accent6"/>
          </a:solidFill>
          <a:ln>
            <a:noFill/>
          </a:ln>
          <a:effectLst/>
        </c:spPr>
      </c:pivotFmt>
      <c:pivotFmt>
        <c:idx val="5"/>
        <c:spPr>
          <a:solidFill>
            <a:srgbClr val="00B050"/>
          </a:solidFill>
          <a:ln>
            <a:noFill/>
          </a:ln>
          <a:effectLst/>
        </c:spPr>
      </c:pivotFmt>
      <c:pivotFmt>
        <c:idx val="6"/>
        <c:spPr>
          <a:solidFill>
            <a:srgbClr val="7030A0"/>
          </a:solidFill>
          <a:ln>
            <a:noFill/>
          </a:ln>
          <a:effectLst/>
        </c:spPr>
      </c:pivotFmt>
    </c:pivotFmts>
    <c:plotArea>
      <c:layout>
        <c:manualLayout>
          <c:layoutTarget val="inner"/>
          <c:xMode val="edge"/>
          <c:yMode val="edge"/>
          <c:x val="0.1650357689457683"/>
          <c:y val="0.21397058823529413"/>
          <c:w val="0.82616915629609622"/>
          <c:h val="0.56431797128300143"/>
        </c:manualLayout>
      </c:layout>
      <c:barChart>
        <c:barDir val="col"/>
        <c:grouping val="stacked"/>
        <c:varyColors val="0"/>
        <c:ser>
          <c:idx val="0"/>
          <c:order val="0"/>
          <c:tx>
            <c:strRef>
              <c:f>Analysis!$AE$30</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96B3-40A1-A9A3-A00B68FECC48}"/>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96B3-40A1-A9A3-A00B68FECC48}"/>
              </c:ext>
            </c:extLst>
          </c:dPt>
          <c:dPt>
            <c:idx val="2"/>
            <c:invertIfNegative val="0"/>
            <c:bubble3D val="0"/>
            <c:spPr>
              <a:solidFill>
                <a:srgbClr val="00B050"/>
              </a:solidFill>
              <a:ln>
                <a:noFill/>
              </a:ln>
              <a:effectLst/>
            </c:spPr>
            <c:extLst>
              <c:ext xmlns:c16="http://schemas.microsoft.com/office/drawing/2014/chart" uri="{C3380CC4-5D6E-409C-BE32-E72D297353CC}">
                <c16:uniqueId val="{00000003-96B3-40A1-A9A3-A00B68FECC48}"/>
              </c:ext>
            </c:extLst>
          </c:dPt>
          <c:dPt>
            <c:idx val="3"/>
            <c:invertIfNegative val="0"/>
            <c:bubble3D val="0"/>
            <c:spPr>
              <a:solidFill>
                <a:srgbClr val="7030A0"/>
              </a:solidFill>
              <a:ln>
                <a:noFill/>
              </a:ln>
              <a:effectLst/>
            </c:spPr>
            <c:extLst>
              <c:ext xmlns:c16="http://schemas.microsoft.com/office/drawing/2014/chart" uri="{C3380CC4-5D6E-409C-BE32-E72D297353CC}">
                <c16:uniqueId val="{00000004-96B3-40A1-A9A3-A00B68FECC48}"/>
              </c:ext>
            </c:extLst>
          </c:dPt>
          <c:cat>
            <c:strRef>
              <c:f>Analysis!$AD$31:$AD$36</c:f>
              <c:strCache>
                <c:ptCount val="5"/>
                <c:pt idx="0">
                  <c:v>Cash</c:v>
                </c:pt>
                <c:pt idx="1">
                  <c:v>Credit Card</c:v>
                </c:pt>
                <c:pt idx="2">
                  <c:v>Debit Card</c:v>
                </c:pt>
                <c:pt idx="3">
                  <c:v>Net Banking</c:v>
                </c:pt>
                <c:pt idx="4">
                  <c:v>UPI</c:v>
                </c:pt>
              </c:strCache>
            </c:strRef>
          </c:cat>
          <c:val>
            <c:numRef>
              <c:f>Analysis!$AE$31:$AE$36</c:f>
              <c:numCache>
                <c:formatCode>General</c:formatCode>
                <c:ptCount val="5"/>
                <c:pt idx="0">
                  <c:v>98</c:v>
                </c:pt>
                <c:pt idx="1">
                  <c:v>100</c:v>
                </c:pt>
                <c:pt idx="2">
                  <c:v>128</c:v>
                </c:pt>
                <c:pt idx="3">
                  <c:v>80</c:v>
                </c:pt>
                <c:pt idx="4">
                  <c:v>94</c:v>
                </c:pt>
              </c:numCache>
            </c:numRef>
          </c:val>
          <c:extLst>
            <c:ext xmlns:c16="http://schemas.microsoft.com/office/drawing/2014/chart" uri="{C3380CC4-5D6E-409C-BE32-E72D297353CC}">
              <c16:uniqueId val="{00000000-96B3-40A1-A9A3-A00B68FECC48}"/>
            </c:ext>
          </c:extLst>
        </c:ser>
        <c:dLbls>
          <c:showLegendKey val="0"/>
          <c:showVal val="0"/>
          <c:showCatName val="0"/>
          <c:showSerName val="0"/>
          <c:showPercent val="0"/>
          <c:showBubbleSize val="0"/>
        </c:dLbls>
        <c:gapWidth val="150"/>
        <c:overlap val="100"/>
        <c:axId val="1993287215"/>
        <c:axId val="1973289007"/>
      </c:barChart>
      <c:catAx>
        <c:axId val="19932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89007"/>
        <c:crosses val="autoZero"/>
        <c:auto val="1"/>
        <c:lblAlgn val="ctr"/>
        <c:lblOffset val="100"/>
        <c:noMultiLvlLbl val="0"/>
      </c:catAx>
      <c:valAx>
        <c:axId val="197328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8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accent1">
                    <a:lumMod val="75000"/>
                  </a:schemeClr>
                </a:solidFill>
                <a:latin typeface="Arial Black" panose="020B0A04020102020204" pitchFamily="34" charset="0"/>
              </a:rPr>
              <a:t>Monthly Transaction Trends</a:t>
            </a:r>
            <a:endParaRPr lang="en-US" sz="1200" b="1">
              <a:solidFill>
                <a:schemeClr val="accent1">
                  <a:lumMod val="7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Analysis!$AK$13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Analysis!$AJ$14:$AJ$42</c:f>
              <c:multiLvlStrCache>
                <c:ptCount val="25"/>
                <c:lvl>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pt idx="24">
                    <c:v>2025-07</c:v>
                  </c:pt>
                </c:lvl>
                <c:lvl>
                  <c:pt idx="0">
                    <c:v>Group1</c:v>
                  </c:pt>
                  <c:pt idx="6">
                    <c:v>Group2</c:v>
                  </c:pt>
                  <c:pt idx="18">
                    <c:v>Group3</c:v>
                  </c:pt>
                </c:lvl>
              </c:multiLvlStrCache>
            </c:multiLvlStrRef>
          </c:cat>
          <c:val>
            <c:numRef>
              <c:f>Analysis!$AK$14:$AK$42</c:f>
              <c:numCache>
                <c:formatCode>General</c:formatCode>
                <c:ptCount val="25"/>
                <c:pt idx="0">
                  <c:v>3570334.2399999998</c:v>
                </c:pt>
                <c:pt idx="1">
                  <c:v>4054808.0700000003</c:v>
                </c:pt>
                <c:pt idx="2">
                  <c:v>2048422.77</c:v>
                </c:pt>
                <c:pt idx="3">
                  <c:v>3066308.9599999995</c:v>
                </c:pt>
                <c:pt idx="4">
                  <c:v>5386301.2400000002</c:v>
                </c:pt>
                <c:pt idx="5">
                  <c:v>4468757.2100000009</c:v>
                </c:pt>
                <c:pt idx="6">
                  <c:v>4858984.9300000006</c:v>
                </c:pt>
                <c:pt idx="7">
                  <c:v>3486546.7899999996</c:v>
                </c:pt>
                <c:pt idx="8">
                  <c:v>4138981.65</c:v>
                </c:pt>
                <c:pt idx="9">
                  <c:v>5107154.71</c:v>
                </c:pt>
                <c:pt idx="10">
                  <c:v>3764278.4999999991</c:v>
                </c:pt>
                <c:pt idx="11">
                  <c:v>3872263.0800000005</c:v>
                </c:pt>
                <c:pt idx="12">
                  <c:v>2422662.2999999998</c:v>
                </c:pt>
                <c:pt idx="13">
                  <c:v>3391426.1499999994</c:v>
                </c:pt>
                <c:pt idx="14">
                  <c:v>3523998.87</c:v>
                </c:pt>
                <c:pt idx="15">
                  <c:v>4513182.0499999989</c:v>
                </c:pt>
                <c:pt idx="16">
                  <c:v>4747001.53</c:v>
                </c:pt>
                <c:pt idx="17">
                  <c:v>3342404.4400000004</c:v>
                </c:pt>
                <c:pt idx="18">
                  <c:v>5263711.3099999996</c:v>
                </c:pt>
                <c:pt idx="19">
                  <c:v>4645795.29</c:v>
                </c:pt>
                <c:pt idx="20">
                  <c:v>3676813.52</c:v>
                </c:pt>
                <c:pt idx="21">
                  <c:v>3988613.6300000004</c:v>
                </c:pt>
                <c:pt idx="22">
                  <c:v>2262880.6599999997</c:v>
                </c:pt>
                <c:pt idx="23">
                  <c:v>3569418.01</c:v>
                </c:pt>
                <c:pt idx="24">
                  <c:v>762730.58</c:v>
                </c:pt>
              </c:numCache>
            </c:numRef>
          </c:val>
          <c:smooth val="0"/>
          <c:extLst>
            <c:ext xmlns:c16="http://schemas.microsoft.com/office/drawing/2014/chart" uri="{C3380CC4-5D6E-409C-BE32-E72D297353CC}">
              <c16:uniqueId val="{00000000-B7FF-4875-B678-BF52E4383450}"/>
            </c:ext>
          </c:extLst>
        </c:ser>
        <c:dLbls>
          <c:showLegendKey val="0"/>
          <c:showVal val="0"/>
          <c:showCatName val="0"/>
          <c:showSerName val="0"/>
          <c:showPercent val="0"/>
          <c:showBubbleSize val="0"/>
        </c:dLbls>
        <c:marker val="1"/>
        <c:smooth val="0"/>
        <c:axId val="803175247"/>
        <c:axId val="1973302447"/>
      </c:lineChart>
      <c:catAx>
        <c:axId val="803175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02447"/>
        <c:crosses val="autoZero"/>
        <c:auto val="1"/>
        <c:lblAlgn val="ctr"/>
        <c:lblOffset val="100"/>
        <c:noMultiLvlLbl val="0"/>
      </c:catAx>
      <c:valAx>
        <c:axId val="197330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7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Transaction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3">
              <a:lumMod val="75000"/>
            </a:schemeClr>
          </a:solidFill>
          <a:ln>
            <a:noFill/>
          </a:ln>
          <a:effectLst/>
        </c:spPr>
      </c:pivotFmt>
      <c:pivotFmt>
        <c:idx val="5"/>
        <c:spPr>
          <a:solidFill>
            <a:schemeClr val="accent4">
              <a:lumMod val="75000"/>
            </a:schemeClr>
          </a:solidFill>
          <a:ln>
            <a:noFill/>
          </a:ln>
          <a:effectLst/>
        </c:spPr>
      </c:pivotFmt>
      <c:pivotFmt>
        <c:idx val="6"/>
        <c:spPr>
          <a:solidFill>
            <a:srgbClr val="FF9966"/>
          </a:solidFill>
          <a:ln>
            <a:noFill/>
          </a:ln>
          <a:effectLst/>
        </c:spPr>
      </c:pivotFmt>
      <c:pivotFmt>
        <c:idx val="7"/>
        <c:spPr>
          <a:solidFill>
            <a:srgbClr val="FFFF00"/>
          </a:solidFill>
          <a:ln>
            <a:noFill/>
          </a:ln>
          <a:effectLst/>
        </c:spPr>
      </c:pivotFmt>
      <c:pivotFmt>
        <c:idx val="8"/>
        <c:spPr>
          <a:solidFill>
            <a:srgbClr val="00B0F0"/>
          </a:solidFill>
          <a:ln>
            <a:noFill/>
          </a:ln>
          <a:effectLst/>
        </c:spPr>
      </c:pivotFmt>
      <c:pivotFmt>
        <c:idx val="9"/>
        <c:spPr>
          <a:solidFill>
            <a:srgbClr val="7030A0"/>
          </a:solidFill>
          <a:ln>
            <a:noFill/>
          </a:ln>
          <a:effectLst/>
        </c:spPr>
      </c:pivotFmt>
      <c:pivotFmt>
        <c:idx val="10"/>
        <c:spPr>
          <a:solidFill>
            <a:schemeClr val="bg2">
              <a:lumMod val="50000"/>
            </a:schemeClr>
          </a:solidFill>
          <a:ln>
            <a:noFill/>
          </a:ln>
          <a:effectLst/>
        </c:spPr>
      </c:pivotFmt>
      <c:pivotFmt>
        <c:idx val="11"/>
        <c:spPr>
          <a:solidFill>
            <a:srgbClr val="C00000"/>
          </a:solidFill>
          <a:ln>
            <a:noFill/>
          </a:ln>
          <a:effectLst/>
        </c:spPr>
      </c:pivotFmt>
      <c:pivotFmt>
        <c:idx val="12"/>
        <c:spPr>
          <a:solidFill>
            <a:srgbClr val="7030A0"/>
          </a:solidFill>
          <a:ln>
            <a:noFill/>
          </a:ln>
          <a:effectLst/>
        </c:spPr>
      </c:pivotFmt>
      <c:pivotFmt>
        <c:idx val="13"/>
        <c:spPr>
          <a:solidFill>
            <a:schemeClr val="accent5"/>
          </a:solidFill>
          <a:ln>
            <a:noFill/>
          </a:ln>
          <a:effectLst/>
        </c:spPr>
      </c:pivotFmt>
      <c:pivotFmt>
        <c:idx val="14"/>
        <c:spPr>
          <a:solidFill>
            <a:srgbClr val="00B0F0"/>
          </a:solidFill>
          <a:ln>
            <a:noFill/>
          </a:ln>
          <a:effectLst/>
        </c:spPr>
      </c:pivotFmt>
      <c:pivotFmt>
        <c:idx val="15"/>
        <c:spPr>
          <a:solidFill>
            <a:srgbClr val="0070C0"/>
          </a:solidFill>
          <a:ln>
            <a:noFill/>
          </a:ln>
          <a:effectLst/>
        </c:spPr>
      </c:pivotFmt>
      <c:pivotFmt>
        <c:idx val="16"/>
        <c:spPr>
          <a:solidFill>
            <a:srgbClr val="FFFF00"/>
          </a:solidFill>
          <a:ln>
            <a:noFill/>
          </a:ln>
          <a:effectLst/>
        </c:spPr>
      </c:pivotFmt>
      <c:pivotFmt>
        <c:idx val="17"/>
        <c:spPr>
          <a:solidFill>
            <a:schemeClr val="tx1">
              <a:lumMod val="95000"/>
              <a:lumOff val="5000"/>
            </a:schemeClr>
          </a:solidFill>
          <a:ln>
            <a:noFill/>
          </a:ln>
          <a:effectLst/>
        </c:spPr>
      </c:pivotFmt>
      <c:pivotFmt>
        <c:idx val="18"/>
        <c:spPr>
          <a:solidFill>
            <a:schemeClr val="accent2"/>
          </a:solidFill>
          <a:ln>
            <a:noFill/>
          </a:ln>
          <a:effectLst/>
        </c:spPr>
      </c:pivotFmt>
      <c:pivotFmt>
        <c:idx val="19"/>
        <c:spPr>
          <a:solidFill>
            <a:schemeClr val="accent3"/>
          </a:solidFill>
          <a:ln>
            <a:noFill/>
          </a:ln>
          <a:effectLst/>
        </c:spPr>
      </c:pivotFmt>
      <c:pivotFmt>
        <c:idx val="20"/>
        <c:spPr>
          <a:solidFill>
            <a:schemeClr val="accent4">
              <a:lumMod val="75000"/>
            </a:schemeClr>
          </a:solidFill>
          <a:ln>
            <a:noFill/>
          </a:ln>
          <a:effectLst/>
        </c:spPr>
      </c:pivotFmt>
      <c:pivotFmt>
        <c:idx val="21"/>
        <c:spPr>
          <a:solidFill>
            <a:schemeClr val="accent6">
              <a:lumMod val="75000"/>
            </a:schemeClr>
          </a:solidFill>
          <a:ln>
            <a:noFill/>
          </a:ln>
          <a:effectLst/>
        </c:spPr>
      </c:pivotFmt>
      <c:pivotFmt>
        <c:idx val="22"/>
        <c:spPr>
          <a:solidFill>
            <a:srgbClr val="FFC000"/>
          </a:solidFill>
          <a:ln>
            <a:noFill/>
          </a:ln>
          <a:effectLst/>
        </c:spPr>
      </c:pivotFmt>
    </c:pivotFmts>
    <c:plotArea>
      <c:layout/>
      <c:barChart>
        <c:barDir val="bar"/>
        <c:grouping val="stacked"/>
        <c:varyColors val="0"/>
        <c:ser>
          <c:idx val="0"/>
          <c:order val="0"/>
          <c:tx>
            <c:strRef>
              <c:f>Analysis!$AU$50</c:f>
              <c:strCache>
                <c:ptCount val="1"/>
                <c:pt idx="0">
                  <c:v>Total</c:v>
                </c:pt>
              </c:strCache>
            </c:strRef>
          </c:tx>
          <c:spPr>
            <a:solidFill>
              <a:schemeClr val="accent1"/>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15-5A15-4BEB-A18B-CB24AE3BC9D0}"/>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14-5A15-4BEB-A18B-CB24AE3BC9D0}"/>
              </c:ext>
            </c:extLst>
          </c:dPt>
          <c:dPt>
            <c:idx val="5"/>
            <c:invertIfNegative val="0"/>
            <c:bubble3D val="0"/>
            <c:spPr>
              <a:solidFill>
                <a:schemeClr val="accent4">
                  <a:lumMod val="75000"/>
                </a:schemeClr>
              </a:solidFill>
              <a:ln>
                <a:noFill/>
              </a:ln>
              <a:effectLst/>
            </c:spPr>
            <c:extLst>
              <c:ext xmlns:c16="http://schemas.microsoft.com/office/drawing/2014/chart" uri="{C3380CC4-5D6E-409C-BE32-E72D297353CC}">
                <c16:uniqueId val="{00000013-5A15-4BEB-A18B-CB24AE3BC9D0}"/>
              </c:ext>
            </c:extLst>
          </c:dPt>
          <c:dPt>
            <c:idx val="7"/>
            <c:invertIfNegative val="0"/>
            <c:bubble3D val="0"/>
            <c:spPr>
              <a:solidFill>
                <a:schemeClr val="accent3"/>
              </a:solidFill>
              <a:ln>
                <a:noFill/>
              </a:ln>
              <a:effectLst/>
            </c:spPr>
            <c:extLst>
              <c:ext xmlns:c16="http://schemas.microsoft.com/office/drawing/2014/chart" uri="{C3380CC4-5D6E-409C-BE32-E72D297353CC}">
                <c16:uniqueId val="{00000012-5A15-4BEB-A18B-CB24AE3BC9D0}"/>
              </c:ext>
            </c:extLst>
          </c:dPt>
          <c:dPt>
            <c:idx val="8"/>
            <c:invertIfNegative val="0"/>
            <c:bubble3D val="0"/>
            <c:spPr>
              <a:solidFill>
                <a:schemeClr val="accent2"/>
              </a:solidFill>
              <a:ln>
                <a:noFill/>
              </a:ln>
              <a:effectLst/>
            </c:spPr>
            <c:extLst>
              <c:ext xmlns:c16="http://schemas.microsoft.com/office/drawing/2014/chart" uri="{C3380CC4-5D6E-409C-BE32-E72D297353CC}">
                <c16:uniqueId val="{00000011-5A15-4BEB-A18B-CB24AE3BC9D0}"/>
              </c:ext>
            </c:extLst>
          </c:dPt>
          <c:dPt>
            <c:idx val="9"/>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10-5A15-4BEB-A18B-CB24AE3BC9D0}"/>
              </c:ext>
            </c:extLst>
          </c:dPt>
          <c:dPt>
            <c:idx val="10"/>
            <c:invertIfNegative val="0"/>
            <c:bubble3D val="0"/>
            <c:spPr>
              <a:solidFill>
                <a:srgbClr val="FFFF00"/>
              </a:solidFill>
              <a:ln>
                <a:noFill/>
              </a:ln>
              <a:effectLst/>
            </c:spPr>
            <c:extLst>
              <c:ext xmlns:c16="http://schemas.microsoft.com/office/drawing/2014/chart" uri="{C3380CC4-5D6E-409C-BE32-E72D297353CC}">
                <c16:uniqueId val="{0000000F-5A15-4BEB-A18B-CB24AE3BC9D0}"/>
              </c:ext>
            </c:extLst>
          </c:dPt>
          <c:dPt>
            <c:idx val="11"/>
            <c:invertIfNegative val="0"/>
            <c:bubble3D val="0"/>
            <c:spPr>
              <a:solidFill>
                <a:srgbClr val="0070C0"/>
              </a:solidFill>
              <a:ln>
                <a:noFill/>
              </a:ln>
              <a:effectLst/>
            </c:spPr>
            <c:extLst>
              <c:ext xmlns:c16="http://schemas.microsoft.com/office/drawing/2014/chart" uri="{C3380CC4-5D6E-409C-BE32-E72D297353CC}">
                <c16:uniqueId val="{0000000E-5A15-4BEB-A18B-CB24AE3BC9D0}"/>
              </c:ext>
            </c:extLst>
          </c:dPt>
          <c:dPt>
            <c:idx val="12"/>
            <c:invertIfNegative val="0"/>
            <c:bubble3D val="0"/>
            <c:spPr>
              <a:solidFill>
                <a:srgbClr val="00B0F0"/>
              </a:solidFill>
              <a:ln>
                <a:noFill/>
              </a:ln>
              <a:effectLst/>
            </c:spPr>
            <c:extLst>
              <c:ext xmlns:c16="http://schemas.microsoft.com/office/drawing/2014/chart" uri="{C3380CC4-5D6E-409C-BE32-E72D297353CC}">
                <c16:uniqueId val="{0000000D-5A15-4BEB-A18B-CB24AE3BC9D0}"/>
              </c:ext>
            </c:extLst>
          </c:dPt>
          <c:dPt>
            <c:idx val="13"/>
            <c:invertIfNegative val="0"/>
            <c:bubble3D val="0"/>
            <c:spPr>
              <a:solidFill>
                <a:schemeClr val="accent5"/>
              </a:solidFill>
              <a:ln>
                <a:noFill/>
              </a:ln>
              <a:effectLst/>
            </c:spPr>
            <c:extLst>
              <c:ext xmlns:c16="http://schemas.microsoft.com/office/drawing/2014/chart" uri="{C3380CC4-5D6E-409C-BE32-E72D297353CC}">
                <c16:uniqueId val="{0000000C-5A15-4BEB-A18B-CB24AE3BC9D0}"/>
              </c:ext>
            </c:extLst>
          </c:dPt>
          <c:dPt>
            <c:idx val="14"/>
            <c:invertIfNegative val="0"/>
            <c:bubble3D val="0"/>
            <c:spPr>
              <a:solidFill>
                <a:srgbClr val="7030A0"/>
              </a:solidFill>
              <a:ln>
                <a:noFill/>
              </a:ln>
              <a:effectLst/>
            </c:spPr>
            <c:extLst>
              <c:ext xmlns:c16="http://schemas.microsoft.com/office/drawing/2014/chart" uri="{C3380CC4-5D6E-409C-BE32-E72D297353CC}">
                <c16:uniqueId val="{0000000B-5A15-4BEB-A18B-CB24AE3BC9D0}"/>
              </c:ext>
            </c:extLst>
          </c:dPt>
          <c:dPt>
            <c:idx val="15"/>
            <c:invertIfNegative val="0"/>
            <c:bubble3D val="0"/>
            <c:spPr>
              <a:solidFill>
                <a:srgbClr val="C00000"/>
              </a:solidFill>
              <a:ln>
                <a:noFill/>
              </a:ln>
              <a:effectLst/>
            </c:spPr>
            <c:extLst>
              <c:ext xmlns:c16="http://schemas.microsoft.com/office/drawing/2014/chart" uri="{C3380CC4-5D6E-409C-BE32-E72D297353CC}">
                <c16:uniqueId val="{0000000A-5A15-4BEB-A18B-CB24AE3BC9D0}"/>
              </c:ext>
            </c:extLst>
          </c:dPt>
          <c:dPt>
            <c:idx val="16"/>
            <c:invertIfNegative val="0"/>
            <c:bubble3D val="0"/>
            <c:spPr>
              <a:solidFill>
                <a:schemeClr val="bg2">
                  <a:lumMod val="50000"/>
                </a:schemeClr>
              </a:solidFill>
              <a:ln>
                <a:noFill/>
              </a:ln>
              <a:effectLst/>
            </c:spPr>
            <c:extLst>
              <c:ext xmlns:c16="http://schemas.microsoft.com/office/drawing/2014/chart" uri="{C3380CC4-5D6E-409C-BE32-E72D297353CC}">
                <c16:uniqueId val="{00000009-5A15-4BEB-A18B-CB24AE3BC9D0}"/>
              </c:ext>
            </c:extLst>
          </c:dPt>
          <c:dPt>
            <c:idx val="17"/>
            <c:invertIfNegative val="0"/>
            <c:bubble3D val="0"/>
            <c:spPr>
              <a:solidFill>
                <a:srgbClr val="FF0000"/>
              </a:solidFill>
              <a:ln>
                <a:noFill/>
              </a:ln>
              <a:effectLst/>
            </c:spPr>
            <c:extLst>
              <c:ext xmlns:c16="http://schemas.microsoft.com/office/drawing/2014/chart" uri="{C3380CC4-5D6E-409C-BE32-E72D297353CC}">
                <c16:uniqueId val="{00000008-5A15-4BEB-A18B-CB24AE3BC9D0}"/>
              </c:ext>
            </c:extLst>
          </c:dPt>
          <c:dPt>
            <c:idx val="18"/>
            <c:invertIfNegative val="0"/>
            <c:bubble3D val="0"/>
            <c:spPr>
              <a:solidFill>
                <a:srgbClr val="7030A0"/>
              </a:solidFill>
              <a:ln>
                <a:noFill/>
              </a:ln>
              <a:effectLst/>
            </c:spPr>
            <c:extLst>
              <c:ext xmlns:c16="http://schemas.microsoft.com/office/drawing/2014/chart" uri="{C3380CC4-5D6E-409C-BE32-E72D297353CC}">
                <c16:uniqueId val="{00000007-5A15-4BEB-A18B-CB24AE3BC9D0}"/>
              </c:ext>
            </c:extLst>
          </c:dPt>
          <c:dPt>
            <c:idx val="19"/>
            <c:invertIfNegative val="0"/>
            <c:bubble3D val="0"/>
            <c:spPr>
              <a:solidFill>
                <a:srgbClr val="00B0F0"/>
              </a:solidFill>
              <a:ln>
                <a:noFill/>
              </a:ln>
              <a:effectLst/>
            </c:spPr>
            <c:extLst>
              <c:ext xmlns:c16="http://schemas.microsoft.com/office/drawing/2014/chart" uri="{C3380CC4-5D6E-409C-BE32-E72D297353CC}">
                <c16:uniqueId val="{00000006-5A15-4BEB-A18B-CB24AE3BC9D0}"/>
              </c:ext>
            </c:extLst>
          </c:dPt>
          <c:dPt>
            <c:idx val="20"/>
            <c:invertIfNegative val="0"/>
            <c:bubble3D val="0"/>
            <c:spPr>
              <a:solidFill>
                <a:srgbClr val="FFFF00"/>
              </a:solidFill>
              <a:ln>
                <a:noFill/>
              </a:ln>
              <a:effectLst/>
            </c:spPr>
            <c:extLst>
              <c:ext xmlns:c16="http://schemas.microsoft.com/office/drawing/2014/chart" uri="{C3380CC4-5D6E-409C-BE32-E72D297353CC}">
                <c16:uniqueId val="{00000005-5A15-4BEB-A18B-CB24AE3BC9D0}"/>
              </c:ext>
            </c:extLst>
          </c:dPt>
          <c:dPt>
            <c:idx val="21"/>
            <c:invertIfNegative val="0"/>
            <c:bubble3D val="0"/>
            <c:spPr>
              <a:solidFill>
                <a:srgbClr val="FF9966"/>
              </a:solidFill>
              <a:ln>
                <a:noFill/>
              </a:ln>
              <a:effectLst/>
            </c:spPr>
            <c:extLst>
              <c:ext xmlns:c16="http://schemas.microsoft.com/office/drawing/2014/chart" uri="{C3380CC4-5D6E-409C-BE32-E72D297353CC}">
                <c16:uniqueId val="{00000004-5A15-4BEB-A18B-CB24AE3BC9D0}"/>
              </c:ext>
            </c:extLst>
          </c:dPt>
          <c:dPt>
            <c:idx val="22"/>
            <c:invertIfNegative val="0"/>
            <c:bubble3D val="0"/>
            <c:spPr>
              <a:solidFill>
                <a:schemeClr val="accent4">
                  <a:lumMod val="75000"/>
                </a:schemeClr>
              </a:solidFill>
              <a:ln>
                <a:noFill/>
              </a:ln>
              <a:effectLst/>
            </c:spPr>
            <c:extLst>
              <c:ext xmlns:c16="http://schemas.microsoft.com/office/drawing/2014/chart" uri="{C3380CC4-5D6E-409C-BE32-E72D297353CC}">
                <c16:uniqueId val="{00000003-5A15-4BEB-A18B-CB24AE3BC9D0}"/>
              </c:ext>
            </c:extLst>
          </c:dPt>
          <c:dPt>
            <c:idx val="23"/>
            <c:invertIfNegative val="0"/>
            <c:bubble3D val="0"/>
            <c:spPr>
              <a:solidFill>
                <a:schemeClr val="accent3">
                  <a:lumMod val="75000"/>
                </a:schemeClr>
              </a:solidFill>
              <a:ln>
                <a:noFill/>
              </a:ln>
              <a:effectLst/>
            </c:spPr>
            <c:extLst>
              <c:ext xmlns:c16="http://schemas.microsoft.com/office/drawing/2014/chart" uri="{C3380CC4-5D6E-409C-BE32-E72D297353CC}">
                <c16:uniqueId val="{00000002-5A15-4BEB-A18B-CB24AE3BC9D0}"/>
              </c:ext>
            </c:extLst>
          </c:dPt>
          <c:dPt>
            <c:idx val="24"/>
            <c:invertIfNegative val="0"/>
            <c:bubble3D val="0"/>
            <c:spPr>
              <a:solidFill>
                <a:srgbClr val="FF0000"/>
              </a:solidFill>
              <a:ln>
                <a:noFill/>
              </a:ln>
              <a:effectLst/>
            </c:spPr>
            <c:extLst>
              <c:ext xmlns:c16="http://schemas.microsoft.com/office/drawing/2014/chart" uri="{C3380CC4-5D6E-409C-BE32-E72D297353CC}">
                <c16:uniqueId val="{00000001-5A15-4BEB-A18B-CB24AE3BC9D0}"/>
              </c:ext>
            </c:extLst>
          </c:dPt>
          <c:cat>
            <c:strRef>
              <c:f>Analysis!$AT$51:$AT$76</c:f>
              <c:strCache>
                <c:ptCount val="25"/>
                <c:pt idx="0">
                  <c:v>Ahmedabad</c:v>
                </c:pt>
                <c:pt idx="1">
                  <c:v>Amritsar</c:v>
                </c:pt>
                <c:pt idx="2">
                  <c:v>Bangalore</c:v>
                </c:pt>
                <c:pt idx="3">
                  <c:v>Bhopal</c:v>
                </c:pt>
                <c:pt idx="4">
                  <c:v>Bhubaneswar</c:v>
                </c:pt>
                <c:pt idx="5">
                  <c:v>Chandigarh</c:v>
                </c:pt>
                <c:pt idx="6">
                  <c:v>Chennai</c:v>
                </c:pt>
                <c:pt idx="7">
                  <c:v>Coimbatore</c:v>
                </c:pt>
                <c:pt idx="8">
                  <c:v>Delhi</c:v>
                </c:pt>
                <c:pt idx="9">
                  <c:v>Guwahati</c:v>
                </c:pt>
                <c:pt idx="10">
                  <c:v>Gwalior</c:v>
                </c:pt>
                <c:pt idx="11">
                  <c:v>Hyderabad</c:v>
                </c:pt>
                <c:pt idx="12">
                  <c:v>Indore</c:v>
                </c:pt>
                <c:pt idx="13">
                  <c:v>Jabalpur</c:v>
                </c:pt>
                <c:pt idx="14">
                  <c:v>Jaipur</c:v>
                </c:pt>
                <c:pt idx="15">
                  <c:v>Kochi</c:v>
                </c:pt>
                <c:pt idx="16">
                  <c:v>Kolkata</c:v>
                </c:pt>
                <c:pt idx="17">
                  <c:v>Lucknow</c:v>
                </c:pt>
                <c:pt idx="18">
                  <c:v>Mumbai</c:v>
                </c:pt>
                <c:pt idx="19">
                  <c:v>Nagpur</c:v>
                </c:pt>
                <c:pt idx="20">
                  <c:v>Patna</c:v>
                </c:pt>
                <c:pt idx="21">
                  <c:v>Pune</c:v>
                </c:pt>
                <c:pt idx="22">
                  <c:v>Raipur</c:v>
                </c:pt>
                <c:pt idx="23">
                  <c:v>Ranchi</c:v>
                </c:pt>
                <c:pt idx="24">
                  <c:v>Surat</c:v>
                </c:pt>
              </c:strCache>
            </c:strRef>
          </c:cat>
          <c:val>
            <c:numRef>
              <c:f>Analysis!$AU$51:$AU$76</c:f>
              <c:numCache>
                <c:formatCode>General</c:formatCode>
                <c:ptCount val="25"/>
                <c:pt idx="0">
                  <c:v>26</c:v>
                </c:pt>
                <c:pt idx="1">
                  <c:v>20</c:v>
                </c:pt>
                <c:pt idx="2">
                  <c:v>17</c:v>
                </c:pt>
                <c:pt idx="3">
                  <c:v>20</c:v>
                </c:pt>
                <c:pt idx="4">
                  <c:v>22</c:v>
                </c:pt>
                <c:pt idx="5">
                  <c:v>23</c:v>
                </c:pt>
                <c:pt idx="6">
                  <c:v>28</c:v>
                </c:pt>
                <c:pt idx="7">
                  <c:v>17</c:v>
                </c:pt>
                <c:pt idx="8">
                  <c:v>22</c:v>
                </c:pt>
                <c:pt idx="9">
                  <c:v>22</c:v>
                </c:pt>
                <c:pt idx="10">
                  <c:v>19</c:v>
                </c:pt>
                <c:pt idx="11">
                  <c:v>19</c:v>
                </c:pt>
                <c:pt idx="12">
                  <c:v>28</c:v>
                </c:pt>
                <c:pt idx="13">
                  <c:v>16</c:v>
                </c:pt>
                <c:pt idx="14">
                  <c:v>22</c:v>
                </c:pt>
                <c:pt idx="15">
                  <c:v>16</c:v>
                </c:pt>
                <c:pt idx="16">
                  <c:v>19</c:v>
                </c:pt>
                <c:pt idx="17">
                  <c:v>23</c:v>
                </c:pt>
                <c:pt idx="18">
                  <c:v>12</c:v>
                </c:pt>
                <c:pt idx="19">
                  <c:v>22</c:v>
                </c:pt>
                <c:pt idx="20">
                  <c:v>17</c:v>
                </c:pt>
                <c:pt idx="21">
                  <c:v>20</c:v>
                </c:pt>
                <c:pt idx="22">
                  <c:v>15</c:v>
                </c:pt>
                <c:pt idx="23">
                  <c:v>14</c:v>
                </c:pt>
                <c:pt idx="24">
                  <c:v>21</c:v>
                </c:pt>
              </c:numCache>
            </c:numRef>
          </c:val>
          <c:extLst>
            <c:ext xmlns:c16="http://schemas.microsoft.com/office/drawing/2014/chart" uri="{C3380CC4-5D6E-409C-BE32-E72D297353CC}">
              <c16:uniqueId val="{00000000-5A15-4BEB-A18B-CB24AE3BC9D0}"/>
            </c:ext>
          </c:extLst>
        </c:ser>
        <c:dLbls>
          <c:showLegendKey val="0"/>
          <c:showVal val="0"/>
          <c:showCatName val="0"/>
          <c:showSerName val="0"/>
          <c:showPercent val="0"/>
          <c:showBubbleSize val="0"/>
        </c:dLbls>
        <c:gapWidth val="150"/>
        <c:overlap val="100"/>
        <c:axId val="896586015"/>
        <c:axId val="1973291407"/>
      </c:barChart>
      <c:catAx>
        <c:axId val="89658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91407"/>
        <c:crosses val="autoZero"/>
        <c:auto val="1"/>
        <c:lblAlgn val="ctr"/>
        <c:lblOffset val="100"/>
        <c:noMultiLvlLbl val="0"/>
      </c:catAx>
      <c:valAx>
        <c:axId val="197329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8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accent1">
                    <a:lumMod val="75000"/>
                  </a:schemeClr>
                </a:solidFill>
              </a:rPr>
              <a:t>Customer Type Distribution</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9.4310565736257651E-2"/>
          <c:y val="0.25936182685401615"/>
          <c:w val="0.47781447423356177"/>
          <c:h val="0.65388070525769582"/>
        </c:manualLayout>
      </c:layout>
      <c:doughnutChart>
        <c:varyColors val="1"/>
        <c:ser>
          <c:idx val="0"/>
          <c:order val="0"/>
          <c:tx>
            <c:strRef>
              <c:f>Analysis!$AQ$50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FB-42BC-B07C-431A87BD2B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FB-42BC-B07C-431A87BD2B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FB-42BC-B07C-431A87BD2B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FB-42BC-B07C-431A87BD2B2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Analysis!$AP$51:$AP$55</c:f>
              <c:strCache>
                <c:ptCount val="4"/>
                <c:pt idx="0">
                  <c:v>Current</c:v>
                </c:pt>
                <c:pt idx="1">
                  <c:v>Fixed Deposit</c:v>
                </c:pt>
                <c:pt idx="2">
                  <c:v>Recurring Deposit</c:v>
                </c:pt>
                <c:pt idx="3">
                  <c:v>Savings</c:v>
                </c:pt>
              </c:strCache>
            </c:strRef>
          </c:cat>
          <c:val>
            <c:numRef>
              <c:f>Analysis!$AQ$51:$AQ$55</c:f>
              <c:numCache>
                <c:formatCode>General</c:formatCode>
                <c:ptCount val="4"/>
                <c:pt idx="0">
                  <c:v>126</c:v>
                </c:pt>
                <c:pt idx="1">
                  <c:v>120</c:v>
                </c:pt>
                <c:pt idx="2">
                  <c:v>137</c:v>
                </c:pt>
                <c:pt idx="3">
                  <c:v>117</c:v>
                </c:pt>
              </c:numCache>
            </c:numRef>
          </c:val>
          <c:extLst>
            <c:ext xmlns:c16="http://schemas.microsoft.com/office/drawing/2014/chart" uri="{C3380CC4-5D6E-409C-BE32-E72D297353CC}">
              <c16:uniqueId val="{00000008-D8FB-42BC-B07C-431A87BD2B20}"/>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layout>
        <c:manualLayout>
          <c:xMode val="edge"/>
          <c:yMode val="edge"/>
          <c:x val="0.61864597455425974"/>
          <c:y val="0.38749668102134249"/>
          <c:w val="0.32873777731885956"/>
          <c:h val="0.38319385427962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[Dashboard.xlsx]Analysis!PivotTable1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75000"/>
                  </a:schemeClr>
                </a:solidFill>
              </a:rPr>
              <a:t>Transaction  by Transaction Type</a:t>
            </a:r>
            <a:r>
              <a:rPr lang="en-IN" sz="1400" b="0" i="0" u="none" strike="noStrike" baseline="0">
                <a:solidFill>
                  <a:schemeClr val="accent1">
                    <a:lumMod val="75000"/>
                  </a:schemeClr>
                </a:solidFill>
              </a:rPr>
              <a:t> </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Analysis!$W$25</c:f>
              <c:strCache>
                <c:ptCount val="1"/>
                <c:pt idx="0">
                  <c:v>Total</c:v>
                </c:pt>
              </c:strCache>
            </c:strRef>
          </c:tx>
          <c:spPr>
            <a:solidFill>
              <a:schemeClr val="accent3"/>
            </a:solidFill>
            <a:ln>
              <a:noFill/>
            </a:ln>
            <a:effectLst/>
          </c:spPr>
          <c:invertIfNegative val="0"/>
          <c:cat>
            <c:strRef>
              <c:f>Analysis!$V$26:$V$30</c:f>
              <c:strCache>
                <c:ptCount val="4"/>
                <c:pt idx="0">
                  <c:v>Cheque</c:v>
                </c:pt>
                <c:pt idx="1">
                  <c:v>Deposit</c:v>
                </c:pt>
                <c:pt idx="2">
                  <c:v>Online Transfer</c:v>
                </c:pt>
                <c:pt idx="3">
                  <c:v>Withdrawal</c:v>
                </c:pt>
              </c:strCache>
            </c:strRef>
          </c:cat>
          <c:val>
            <c:numRef>
              <c:f>Analysis!$W$26:$W$30</c:f>
              <c:numCache>
                <c:formatCode>General</c:formatCode>
                <c:ptCount val="4"/>
                <c:pt idx="0">
                  <c:v>108</c:v>
                </c:pt>
                <c:pt idx="1">
                  <c:v>140</c:v>
                </c:pt>
                <c:pt idx="2">
                  <c:v>136</c:v>
                </c:pt>
                <c:pt idx="3">
                  <c:v>116</c:v>
                </c:pt>
              </c:numCache>
            </c:numRef>
          </c:val>
          <c:extLst>
            <c:ext xmlns:c16="http://schemas.microsoft.com/office/drawing/2014/chart" uri="{C3380CC4-5D6E-409C-BE32-E72D297353CC}">
              <c16:uniqueId val="{00000000-ED2E-4497-864D-B234556E0AA1}"/>
            </c:ext>
          </c:extLst>
        </c:ser>
        <c:dLbls>
          <c:showLegendKey val="0"/>
          <c:showVal val="0"/>
          <c:showCatName val="0"/>
          <c:showSerName val="0"/>
          <c:showPercent val="0"/>
          <c:showBubbleSize val="0"/>
        </c:dLbls>
        <c:gapWidth val="219"/>
        <c:overlap val="-27"/>
        <c:axId val="1993258447"/>
        <c:axId val="1973288047"/>
      </c:barChart>
      <c:catAx>
        <c:axId val="19932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88047"/>
        <c:crosses val="autoZero"/>
        <c:auto val="1"/>
        <c:lblAlgn val="ctr"/>
        <c:lblOffset val="100"/>
        <c:noMultiLvlLbl val="0"/>
      </c:catAx>
      <c:valAx>
        <c:axId val="197328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11</xdr:col>
      <xdr:colOff>373380</xdr:colOff>
      <xdr:row>17</xdr:row>
      <xdr:rowOff>64770</xdr:rowOff>
    </xdr:from>
    <xdr:to>
      <xdr:col>16</xdr:col>
      <xdr:colOff>243840</xdr:colOff>
      <xdr:row>35</xdr:row>
      <xdr:rowOff>45720</xdr:rowOff>
    </xdr:to>
    <xdr:graphicFrame macro="">
      <xdr:nvGraphicFramePr>
        <xdr:cNvPr id="7" name="Chart 6">
          <a:extLst>
            <a:ext uri="{FF2B5EF4-FFF2-40B4-BE49-F238E27FC236}">
              <a16:creationId xmlns:a16="http://schemas.microsoft.com/office/drawing/2014/main" id="{59C0F897-52AA-678A-93C0-57E699FEE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502920</xdr:colOff>
      <xdr:row>11</xdr:row>
      <xdr:rowOff>34290</xdr:rowOff>
    </xdr:from>
    <xdr:to>
      <xdr:col>32</xdr:col>
      <xdr:colOff>198120</xdr:colOff>
      <xdr:row>26</xdr:row>
      <xdr:rowOff>34290</xdr:rowOff>
    </xdr:to>
    <xdr:graphicFrame macro="">
      <xdr:nvGraphicFramePr>
        <xdr:cNvPr id="8" name="Chart 7">
          <a:extLst>
            <a:ext uri="{FF2B5EF4-FFF2-40B4-BE49-F238E27FC236}">
              <a16:creationId xmlns:a16="http://schemas.microsoft.com/office/drawing/2014/main" id="{D4B28B04-B589-EBA1-4F52-9511D508A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335280</xdr:colOff>
      <xdr:row>9</xdr:row>
      <xdr:rowOff>49530</xdr:rowOff>
    </xdr:from>
    <xdr:to>
      <xdr:col>45</xdr:col>
      <xdr:colOff>30480</xdr:colOff>
      <xdr:row>24</xdr:row>
      <xdr:rowOff>49530</xdr:rowOff>
    </xdr:to>
    <xdr:graphicFrame macro="">
      <xdr:nvGraphicFramePr>
        <xdr:cNvPr id="10" name="Chart 9">
          <a:extLst>
            <a:ext uri="{FF2B5EF4-FFF2-40B4-BE49-F238E27FC236}">
              <a16:creationId xmlns:a16="http://schemas.microsoft.com/office/drawing/2014/main" id="{CEBA86C9-574E-584A-92BA-553C7DC2D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495300</xdr:colOff>
      <xdr:row>20</xdr:row>
      <xdr:rowOff>34290</xdr:rowOff>
    </xdr:from>
    <xdr:to>
      <xdr:col>50</xdr:col>
      <xdr:colOff>1066800</xdr:colOff>
      <xdr:row>35</xdr:row>
      <xdr:rowOff>99060</xdr:rowOff>
    </xdr:to>
    <xdr:graphicFrame macro="">
      <xdr:nvGraphicFramePr>
        <xdr:cNvPr id="11" name="Chart 10">
          <a:extLst>
            <a:ext uri="{FF2B5EF4-FFF2-40B4-BE49-F238E27FC236}">
              <a16:creationId xmlns:a16="http://schemas.microsoft.com/office/drawing/2014/main" id="{51BB2561-1324-F288-B08D-EDF84DB0B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289560</xdr:colOff>
      <xdr:row>35</xdr:row>
      <xdr:rowOff>133350</xdr:rowOff>
    </xdr:from>
    <xdr:to>
      <xdr:col>27</xdr:col>
      <xdr:colOff>563880</xdr:colOff>
      <xdr:row>48</xdr:row>
      <xdr:rowOff>68580</xdr:rowOff>
    </xdr:to>
    <xdr:graphicFrame macro="">
      <xdr:nvGraphicFramePr>
        <xdr:cNvPr id="12" name="Chart 11">
          <a:extLst>
            <a:ext uri="{FF2B5EF4-FFF2-40B4-BE49-F238E27FC236}">
              <a16:creationId xmlns:a16="http://schemas.microsoft.com/office/drawing/2014/main" id="{B99A8EF0-F063-9457-8CDF-A055E5A05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91440</xdr:colOff>
      <xdr:row>46</xdr:row>
      <xdr:rowOff>64770</xdr:rowOff>
    </xdr:from>
    <xdr:to>
      <xdr:col>33</xdr:col>
      <xdr:colOff>426720</xdr:colOff>
      <xdr:row>61</xdr:row>
      <xdr:rowOff>64770</xdr:rowOff>
    </xdr:to>
    <xdr:graphicFrame macro="">
      <xdr:nvGraphicFramePr>
        <xdr:cNvPr id="13" name="Chart 12">
          <a:extLst>
            <a:ext uri="{FF2B5EF4-FFF2-40B4-BE49-F238E27FC236}">
              <a16:creationId xmlns:a16="http://schemas.microsoft.com/office/drawing/2014/main" id="{482F513B-53E6-CBAC-DE21-48C7D87C6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243840</xdr:colOff>
      <xdr:row>57</xdr:row>
      <xdr:rowOff>171450</xdr:rowOff>
    </xdr:from>
    <xdr:to>
      <xdr:col>40</xdr:col>
      <xdr:colOff>205740</xdr:colOff>
      <xdr:row>72</xdr:row>
      <xdr:rowOff>171450</xdr:rowOff>
    </xdr:to>
    <xdr:graphicFrame macro="">
      <xdr:nvGraphicFramePr>
        <xdr:cNvPr id="14" name="Chart 13">
          <a:extLst>
            <a:ext uri="{FF2B5EF4-FFF2-40B4-BE49-F238E27FC236}">
              <a16:creationId xmlns:a16="http://schemas.microsoft.com/office/drawing/2014/main" id="{EE418D77-F0BD-F5BD-2E99-CDBE54CD0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15240</xdr:colOff>
      <xdr:row>57</xdr:row>
      <xdr:rowOff>87630</xdr:rowOff>
    </xdr:from>
    <xdr:to>
      <xdr:col>45</xdr:col>
      <xdr:colOff>304800</xdr:colOff>
      <xdr:row>73</xdr:row>
      <xdr:rowOff>0</xdr:rowOff>
    </xdr:to>
    <xdr:graphicFrame macro="">
      <xdr:nvGraphicFramePr>
        <xdr:cNvPr id="16" name="Chart 15">
          <a:extLst>
            <a:ext uri="{FF2B5EF4-FFF2-40B4-BE49-F238E27FC236}">
              <a16:creationId xmlns:a16="http://schemas.microsoft.com/office/drawing/2014/main" id="{F2694AD8-78B6-328A-3389-09EE45648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47</xdr:col>
      <xdr:colOff>381000</xdr:colOff>
      <xdr:row>50</xdr:row>
      <xdr:rowOff>19050</xdr:rowOff>
    </xdr:from>
    <xdr:to>
      <xdr:col>53</xdr:col>
      <xdr:colOff>213360</xdr:colOff>
      <xdr:row>65</xdr:row>
      <xdr:rowOff>19050</xdr:rowOff>
    </xdr:to>
    <xdr:graphicFrame macro="">
      <xdr:nvGraphicFramePr>
        <xdr:cNvPr id="17" name="Chart 16">
          <a:extLst>
            <a:ext uri="{FF2B5EF4-FFF2-40B4-BE49-F238E27FC236}">
              <a16:creationId xmlns:a16="http://schemas.microsoft.com/office/drawing/2014/main" id="{F68EADC6-FF52-170E-CB27-205EBE726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53</xdr:col>
      <xdr:colOff>556260</xdr:colOff>
      <xdr:row>56</xdr:row>
      <xdr:rowOff>80010</xdr:rowOff>
    </xdr:from>
    <xdr:to>
      <xdr:col>59</xdr:col>
      <xdr:colOff>388620</xdr:colOff>
      <xdr:row>71</xdr:row>
      <xdr:rowOff>80010</xdr:rowOff>
    </xdr:to>
    <xdr:graphicFrame macro="">
      <xdr:nvGraphicFramePr>
        <xdr:cNvPr id="18" name="Chart 17">
          <a:extLst>
            <a:ext uri="{FF2B5EF4-FFF2-40B4-BE49-F238E27FC236}">
              <a16:creationId xmlns:a16="http://schemas.microsoft.com/office/drawing/2014/main" id="{CE8DBD44-26A7-0C45-4BFB-283DA573C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25</xdr:col>
      <xdr:colOff>60960</xdr:colOff>
      <xdr:row>3</xdr:row>
      <xdr:rowOff>83820</xdr:rowOff>
    </xdr:from>
    <xdr:to>
      <xdr:col>28</xdr:col>
      <xdr:colOff>60960</xdr:colOff>
      <xdr:row>16</xdr:row>
      <xdr:rowOff>173355</xdr:rowOff>
    </xdr:to>
    <mc:AlternateContent xmlns:mc="http://schemas.openxmlformats.org/markup-compatibility/2006" xmlns:a14="http://schemas.microsoft.com/office/drawing/2010/main">
      <mc:Choice Requires="a14">
        <xdr:graphicFrame macro="">
          <xdr:nvGraphicFramePr>
            <xdr:cNvPr id="19" name="Branch Name">
              <a:extLst>
                <a:ext uri="{FF2B5EF4-FFF2-40B4-BE49-F238E27FC236}">
                  <a16:creationId xmlns:a16="http://schemas.microsoft.com/office/drawing/2014/main" id="{476B2E42-1B29-253D-4959-4040EA246715}"/>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mlns="">
        <xdr:sp macro="" textlink="">
          <xdr:nvSpPr>
            <xdr:cNvPr id="0" name=""/>
            <xdr:cNvSpPr>
              <a:spLocks noTextEdit="1"/>
            </xdr:cNvSpPr>
          </xdr:nvSpPr>
          <xdr:spPr>
            <a:xfrm>
              <a:off x="20170140" y="63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739140</xdr:colOff>
      <xdr:row>2</xdr:row>
      <xdr:rowOff>137160</xdr:rowOff>
    </xdr:from>
    <xdr:to>
      <xdr:col>31</xdr:col>
      <xdr:colOff>1508760</xdr:colOff>
      <xdr:row>16</xdr:row>
      <xdr:rowOff>43815</xdr:rowOff>
    </xdr:to>
    <mc:AlternateContent xmlns:mc="http://schemas.openxmlformats.org/markup-compatibility/2006" xmlns:a14="http://schemas.microsoft.com/office/drawing/2010/main">
      <mc:Choice Requires="a14">
        <xdr:graphicFrame macro="">
          <xdr:nvGraphicFramePr>
            <xdr:cNvPr id="20" name="Branch Name 2">
              <a:extLst>
                <a:ext uri="{FF2B5EF4-FFF2-40B4-BE49-F238E27FC236}">
                  <a16:creationId xmlns:a16="http://schemas.microsoft.com/office/drawing/2014/main" id="{1083DE36-87CB-4BB1-A115-C2434357DFD6}"/>
                </a:ext>
              </a:extLst>
            </xdr:cNvPr>
            <xdr:cNvGraphicFramePr/>
          </xdr:nvGraphicFramePr>
          <xdr:xfrm>
            <a:off x="0" y="0"/>
            <a:ext cx="0" cy="0"/>
          </xdr:xfrm>
          <a:graphic>
            <a:graphicData uri="http://schemas.microsoft.com/office/drawing/2010/slicer">
              <sle:slicer xmlns:sle="http://schemas.microsoft.com/office/drawing/2010/slicer" name="Branch Name 2"/>
            </a:graphicData>
          </a:graphic>
        </xdr:graphicFrame>
      </mc:Choice>
      <mc:Fallback xmlns="">
        <xdr:sp macro="" textlink="">
          <xdr:nvSpPr>
            <xdr:cNvPr id="0" name=""/>
            <xdr:cNvSpPr>
              <a:spLocks noTextEdit="1"/>
            </xdr:cNvSpPr>
          </xdr:nvSpPr>
          <xdr:spPr>
            <a:xfrm>
              <a:off x="24147780" y="502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152400</xdr:colOff>
      <xdr:row>4</xdr:row>
      <xdr:rowOff>30480</xdr:rowOff>
    </xdr:from>
    <xdr:to>
      <xdr:col>30</xdr:col>
      <xdr:colOff>510540</xdr:colOff>
      <xdr:row>17</xdr:row>
      <xdr:rowOff>120015</xdr:rowOff>
    </xdr:to>
    <mc:AlternateContent xmlns:mc="http://schemas.openxmlformats.org/markup-compatibility/2006" xmlns:a14="http://schemas.microsoft.com/office/drawing/2010/main">
      <mc:Choice Requires="a14">
        <xdr:graphicFrame macro="">
          <xdr:nvGraphicFramePr>
            <xdr:cNvPr id="21" name="Payment Mode">
              <a:extLst>
                <a:ext uri="{FF2B5EF4-FFF2-40B4-BE49-F238E27FC236}">
                  <a16:creationId xmlns:a16="http://schemas.microsoft.com/office/drawing/2014/main" id="{CD45E1E7-0D18-5582-0D4F-227DD99423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2090380" y="76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xdr:colOff>
      <xdr:row>12</xdr:row>
      <xdr:rowOff>114300</xdr:rowOff>
    </xdr:from>
    <xdr:to>
      <xdr:col>19</xdr:col>
      <xdr:colOff>129540</xdr:colOff>
      <xdr:row>26</xdr:row>
      <xdr:rowOff>20955</xdr:rowOff>
    </xdr:to>
    <mc:AlternateContent xmlns:mc="http://schemas.openxmlformats.org/markup-compatibility/2006" xmlns:a14="http://schemas.microsoft.com/office/drawing/2010/main">
      <mc:Choice Requires="a14">
        <xdr:graphicFrame macro="">
          <xdr:nvGraphicFramePr>
            <xdr:cNvPr id="22" name="Transaction Type">
              <a:extLst>
                <a:ext uri="{FF2B5EF4-FFF2-40B4-BE49-F238E27FC236}">
                  <a16:creationId xmlns:a16="http://schemas.microsoft.com/office/drawing/2014/main" id="{9C86F490-422B-0796-A173-E642A92FAF86}"/>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mlns="">
        <xdr:sp macro="" textlink="">
          <xdr:nvSpPr>
            <xdr:cNvPr id="0" name=""/>
            <xdr:cNvSpPr>
              <a:spLocks noTextEdit="1"/>
            </xdr:cNvSpPr>
          </xdr:nvSpPr>
          <xdr:spPr>
            <a:xfrm>
              <a:off x="13601700" y="2308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53138</xdr:colOff>
      <xdr:row>0</xdr:row>
      <xdr:rowOff>0</xdr:rowOff>
    </xdr:from>
    <xdr:to>
      <xdr:col>23</xdr:col>
      <xdr:colOff>451142</xdr:colOff>
      <xdr:row>40</xdr:row>
      <xdr:rowOff>52755</xdr:rowOff>
    </xdr:to>
    <xdr:sp macro="" textlink="">
      <xdr:nvSpPr>
        <xdr:cNvPr id="4" name="Rectangle 3">
          <a:extLst>
            <a:ext uri="{FF2B5EF4-FFF2-40B4-BE49-F238E27FC236}">
              <a16:creationId xmlns:a16="http://schemas.microsoft.com/office/drawing/2014/main" id="{48E2A556-4929-4F02-8689-9D5227AC8A04}"/>
            </a:ext>
          </a:extLst>
        </xdr:cNvPr>
        <xdr:cNvSpPr/>
      </xdr:nvSpPr>
      <xdr:spPr>
        <a:xfrm>
          <a:off x="1881938" y="0"/>
          <a:ext cx="12590004" cy="7455041"/>
        </a:xfrm>
        <a:prstGeom prst="rect">
          <a:avLst/>
        </a:prstGeom>
        <a:solidFill>
          <a:schemeClr val="bg1">
            <a:lumMod val="8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128954</xdr:colOff>
      <xdr:row>0</xdr:row>
      <xdr:rowOff>22858</xdr:rowOff>
    </xdr:from>
    <xdr:to>
      <xdr:col>23</xdr:col>
      <xdr:colOff>403862</xdr:colOff>
      <xdr:row>4</xdr:row>
      <xdr:rowOff>35168</xdr:rowOff>
    </xdr:to>
    <xdr:sp macro="" textlink="">
      <xdr:nvSpPr>
        <xdr:cNvPr id="7" name="Rectangle 6">
          <a:extLst>
            <a:ext uri="{FF2B5EF4-FFF2-40B4-BE49-F238E27FC236}">
              <a16:creationId xmlns:a16="http://schemas.microsoft.com/office/drawing/2014/main" id="{E9CE8390-F24E-4E07-9595-F8F9217A7D0B}"/>
            </a:ext>
          </a:extLst>
        </xdr:cNvPr>
        <xdr:cNvSpPr/>
      </xdr:nvSpPr>
      <xdr:spPr>
        <a:xfrm>
          <a:off x="1952311" y="22858"/>
          <a:ext cx="12430622" cy="738024"/>
        </a:xfrm>
        <a:prstGeom prst="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50">
            <a:ln w="0"/>
            <a:solidFill>
              <a:schemeClr val="accent1">
                <a:lumMod val="75000"/>
              </a:schemeClr>
            </a:solidFill>
            <a:effectLst>
              <a:innerShdw blurRad="63500" dist="50800" dir="13500000">
                <a:srgbClr val="000000">
                  <a:alpha val="50000"/>
                </a:srgbClr>
              </a:innerShdw>
            </a:effectLst>
          </a:endParaRPr>
        </a:p>
      </xdr:txBody>
    </xdr:sp>
    <xdr:clientData/>
  </xdr:twoCellAnchor>
  <xdr:twoCellAnchor>
    <xdr:from>
      <xdr:col>5</xdr:col>
      <xdr:colOff>283698</xdr:colOff>
      <xdr:row>4</xdr:row>
      <xdr:rowOff>120960</xdr:rowOff>
    </xdr:from>
    <xdr:to>
      <xdr:col>8</xdr:col>
      <xdr:colOff>512298</xdr:colOff>
      <xdr:row>9</xdr:row>
      <xdr:rowOff>98100</xdr:rowOff>
    </xdr:to>
    <xdr:sp macro="" textlink="">
      <xdr:nvSpPr>
        <xdr:cNvPr id="10" name="Rectangle: Rounded Corners 9">
          <a:extLst>
            <a:ext uri="{FF2B5EF4-FFF2-40B4-BE49-F238E27FC236}">
              <a16:creationId xmlns:a16="http://schemas.microsoft.com/office/drawing/2014/main" id="{D5B463F0-ECB7-4AEC-BEF1-F232FBAF4ADE}"/>
            </a:ext>
          </a:extLst>
        </xdr:cNvPr>
        <xdr:cNvSpPr/>
      </xdr:nvSpPr>
      <xdr:spPr>
        <a:xfrm>
          <a:off x="3320655" y="871917"/>
          <a:ext cx="2050773" cy="915835"/>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20</xdr:col>
      <xdr:colOff>580159</xdr:colOff>
      <xdr:row>4</xdr:row>
      <xdr:rowOff>84859</xdr:rowOff>
    </xdr:from>
    <xdr:to>
      <xdr:col>23</xdr:col>
      <xdr:colOff>424295</xdr:colOff>
      <xdr:row>9</xdr:row>
      <xdr:rowOff>121227</xdr:rowOff>
    </xdr:to>
    <xdr:sp macro="" textlink="">
      <xdr:nvSpPr>
        <xdr:cNvPr id="14" name="Rectangle: Rounded Corners 13">
          <a:extLst>
            <a:ext uri="{FF2B5EF4-FFF2-40B4-BE49-F238E27FC236}">
              <a16:creationId xmlns:a16="http://schemas.microsoft.com/office/drawing/2014/main" id="{D64396A9-19D8-4950-8B6C-1B11E7E17AA1}"/>
            </a:ext>
          </a:extLst>
        </xdr:cNvPr>
        <xdr:cNvSpPr/>
      </xdr:nvSpPr>
      <xdr:spPr>
        <a:xfrm>
          <a:off x="12702886" y="812223"/>
          <a:ext cx="1662545" cy="945572"/>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563880</xdr:colOff>
      <xdr:row>4</xdr:row>
      <xdr:rowOff>68580</xdr:rowOff>
    </xdr:from>
    <xdr:to>
      <xdr:col>20</xdr:col>
      <xdr:colOff>502228</xdr:colOff>
      <xdr:row>9</xdr:row>
      <xdr:rowOff>95250</xdr:rowOff>
    </xdr:to>
    <xdr:sp macro="" textlink="">
      <xdr:nvSpPr>
        <xdr:cNvPr id="15" name="Rectangle: Rounded Corners 14">
          <a:extLst>
            <a:ext uri="{FF2B5EF4-FFF2-40B4-BE49-F238E27FC236}">
              <a16:creationId xmlns:a16="http://schemas.microsoft.com/office/drawing/2014/main" id="{BB91CC18-40F0-431F-9A08-AB298A349E30}"/>
            </a:ext>
          </a:extLst>
        </xdr:cNvPr>
        <xdr:cNvSpPr/>
      </xdr:nvSpPr>
      <xdr:spPr>
        <a:xfrm>
          <a:off x="10868198" y="795944"/>
          <a:ext cx="1756757" cy="935874"/>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22860</xdr:colOff>
      <xdr:row>4</xdr:row>
      <xdr:rowOff>98268</xdr:rowOff>
    </xdr:from>
    <xdr:to>
      <xdr:col>14</xdr:col>
      <xdr:colOff>601980</xdr:colOff>
      <xdr:row>9</xdr:row>
      <xdr:rowOff>105888</xdr:rowOff>
    </xdr:to>
    <xdr:sp macro="" textlink="">
      <xdr:nvSpPr>
        <xdr:cNvPr id="16" name="Rectangle: Rounded Corners 15">
          <a:extLst>
            <a:ext uri="{FF2B5EF4-FFF2-40B4-BE49-F238E27FC236}">
              <a16:creationId xmlns:a16="http://schemas.microsoft.com/office/drawing/2014/main" id="{6D2F3C8A-CC07-4726-9291-627EAD094A9A}"/>
            </a:ext>
          </a:extLst>
        </xdr:cNvPr>
        <xdr:cNvSpPr/>
      </xdr:nvSpPr>
      <xdr:spPr>
        <a:xfrm>
          <a:off x="7385561" y="810787"/>
          <a:ext cx="1806237" cy="898270"/>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30480</xdr:colOff>
      <xdr:row>4</xdr:row>
      <xdr:rowOff>91440</xdr:rowOff>
    </xdr:from>
    <xdr:to>
      <xdr:col>11</xdr:col>
      <xdr:colOff>579120</xdr:colOff>
      <xdr:row>9</xdr:row>
      <xdr:rowOff>99060</xdr:rowOff>
    </xdr:to>
    <xdr:sp macro="" textlink="">
      <xdr:nvSpPr>
        <xdr:cNvPr id="17" name="Rectangle: Rounded Corners 16">
          <a:extLst>
            <a:ext uri="{FF2B5EF4-FFF2-40B4-BE49-F238E27FC236}">
              <a16:creationId xmlns:a16="http://schemas.microsoft.com/office/drawing/2014/main" id="{FC069E5D-711E-4755-B044-6869E2B479E5}"/>
            </a:ext>
          </a:extLst>
        </xdr:cNvPr>
        <xdr:cNvSpPr/>
      </xdr:nvSpPr>
      <xdr:spPr>
        <a:xfrm>
          <a:off x="5516880" y="822960"/>
          <a:ext cx="1767840" cy="922020"/>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182880</xdr:colOff>
      <xdr:row>4</xdr:row>
      <xdr:rowOff>137160</xdr:rowOff>
    </xdr:from>
    <xdr:to>
      <xdr:col>11</xdr:col>
      <xdr:colOff>495300</xdr:colOff>
      <xdr:row>6</xdr:row>
      <xdr:rowOff>45720</xdr:rowOff>
    </xdr:to>
    <xdr:sp macro="" textlink="">
      <xdr:nvSpPr>
        <xdr:cNvPr id="19" name="Rectangle: Rounded Corners 18">
          <a:extLst>
            <a:ext uri="{FF2B5EF4-FFF2-40B4-BE49-F238E27FC236}">
              <a16:creationId xmlns:a16="http://schemas.microsoft.com/office/drawing/2014/main" id="{7248D3F9-34D4-4568-8DB5-B89ED275BDF2}"/>
            </a:ext>
          </a:extLst>
        </xdr:cNvPr>
        <xdr:cNvSpPr/>
      </xdr:nvSpPr>
      <xdr:spPr>
        <a:xfrm>
          <a:off x="5669280" y="868680"/>
          <a:ext cx="1531620" cy="27432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accent1">
                  <a:lumMod val="75000"/>
                </a:schemeClr>
              </a:solidFill>
              <a:latin typeface="Arial Black" panose="020B0A04020102020204" pitchFamily="34" charset="0"/>
            </a:rPr>
            <a:t>TOTAL</a:t>
          </a:r>
          <a:r>
            <a:rPr lang="en-IN" b="1" baseline="0">
              <a:solidFill>
                <a:schemeClr val="accent1">
                  <a:lumMod val="75000"/>
                </a:schemeClr>
              </a:solidFill>
              <a:latin typeface="Arial Black" panose="020B0A04020102020204" pitchFamily="34" charset="0"/>
            </a:rPr>
            <a:t> AMOUNT</a:t>
          </a:r>
          <a:endParaRPr lang="en-IN" sz="1100" b="1">
            <a:solidFill>
              <a:schemeClr val="accent1">
                <a:lumMod val="75000"/>
              </a:schemeClr>
            </a:solidFill>
            <a:latin typeface="Arial Black" panose="020B0A04020102020204" pitchFamily="34" charset="0"/>
          </a:endParaRPr>
        </a:p>
      </xdr:txBody>
    </xdr:sp>
    <xdr:clientData/>
  </xdr:twoCellAnchor>
  <xdr:twoCellAnchor>
    <xdr:from>
      <xdr:col>17</xdr:col>
      <xdr:colOff>586740</xdr:colOff>
      <xdr:row>4</xdr:row>
      <xdr:rowOff>129540</xdr:rowOff>
    </xdr:from>
    <xdr:to>
      <xdr:col>20</xdr:col>
      <xdr:colOff>476250</xdr:colOff>
      <xdr:row>6</xdr:row>
      <xdr:rowOff>114300</xdr:rowOff>
    </xdr:to>
    <xdr:sp macro="" textlink="">
      <xdr:nvSpPr>
        <xdr:cNvPr id="21" name="Rectangle: Rounded Corners 20">
          <a:extLst>
            <a:ext uri="{FF2B5EF4-FFF2-40B4-BE49-F238E27FC236}">
              <a16:creationId xmlns:a16="http://schemas.microsoft.com/office/drawing/2014/main" id="{3529B400-5328-46AE-8B1F-77342D4325C8}"/>
            </a:ext>
          </a:extLst>
        </xdr:cNvPr>
        <xdr:cNvSpPr/>
      </xdr:nvSpPr>
      <xdr:spPr>
        <a:xfrm>
          <a:off x="10891058" y="856904"/>
          <a:ext cx="1707919" cy="348441"/>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accent1">
                  <a:lumMod val="75000"/>
                </a:schemeClr>
              </a:solidFill>
              <a:latin typeface="Arial Black" panose="020B0A04020102020204" pitchFamily="34" charset="0"/>
            </a:rPr>
            <a:t>TOTAL BRANCHES</a:t>
          </a:r>
          <a:endParaRPr lang="en-IN" sz="1100" b="1">
            <a:solidFill>
              <a:schemeClr val="accent1">
                <a:lumMod val="75000"/>
              </a:schemeClr>
            </a:solidFill>
            <a:latin typeface="Arial Black" panose="020B0A04020102020204" pitchFamily="34" charset="0"/>
          </a:endParaRPr>
        </a:p>
      </xdr:txBody>
    </xdr:sp>
    <xdr:clientData/>
  </xdr:twoCellAnchor>
  <xdr:twoCellAnchor>
    <xdr:from>
      <xdr:col>12</xdr:col>
      <xdr:colOff>30480</xdr:colOff>
      <xdr:row>4</xdr:row>
      <xdr:rowOff>144780</xdr:rowOff>
    </xdr:from>
    <xdr:to>
      <xdr:col>14</xdr:col>
      <xdr:colOff>586740</xdr:colOff>
      <xdr:row>6</xdr:row>
      <xdr:rowOff>129540</xdr:rowOff>
    </xdr:to>
    <xdr:sp macro="" textlink="">
      <xdr:nvSpPr>
        <xdr:cNvPr id="22" name="Rectangle: Rounded Corners 21">
          <a:extLst>
            <a:ext uri="{FF2B5EF4-FFF2-40B4-BE49-F238E27FC236}">
              <a16:creationId xmlns:a16="http://schemas.microsoft.com/office/drawing/2014/main" id="{6132EF20-3447-4BB0-A422-22DF4E858E9B}"/>
            </a:ext>
          </a:extLst>
        </xdr:cNvPr>
        <xdr:cNvSpPr/>
      </xdr:nvSpPr>
      <xdr:spPr>
        <a:xfrm>
          <a:off x="7345680" y="876300"/>
          <a:ext cx="1775460" cy="35052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accent1">
                  <a:lumMod val="75000"/>
                </a:schemeClr>
              </a:solidFill>
              <a:latin typeface="Arial Black" panose="020B0A04020102020204" pitchFamily="34" charset="0"/>
            </a:rPr>
            <a:t>TOTAL</a:t>
          </a:r>
          <a:r>
            <a:rPr lang="en-IN" b="1" baseline="0">
              <a:solidFill>
                <a:schemeClr val="accent1">
                  <a:lumMod val="75000"/>
                </a:schemeClr>
              </a:solidFill>
              <a:latin typeface="Arial Black" panose="020B0A04020102020204" pitchFamily="34" charset="0"/>
            </a:rPr>
            <a:t> CUSTOMERS</a:t>
          </a:r>
          <a:endParaRPr lang="en-IN" sz="1100" b="1">
            <a:solidFill>
              <a:schemeClr val="accent1">
                <a:lumMod val="75000"/>
              </a:schemeClr>
            </a:solidFill>
            <a:latin typeface="Arial Black" panose="020B0A04020102020204" pitchFamily="34" charset="0"/>
          </a:endParaRPr>
        </a:p>
      </xdr:txBody>
    </xdr:sp>
    <xdr:clientData/>
  </xdr:twoCellAnchor>
  <xdr:twoCellAnchor>
    <xdr:from>
      <xdr:col>5</xdr:col>
      <xdr:colOff>284284</xdr:colOff>
      <xdr:row>4</xdr:row>
      <xdr:rowOff>137160</xdr:rowOff>
    </xdr:from>
    <xdr:to>
      <xdr:col>8</xdr:col>
      <xdr:colOff>482404</xdr:colOff>
      <xdr:row>6</xdr:row>
      <xdr:rowOff>0</xdr:rowOff>
    </xdr:to>
    <xdr:sp macro="" textlink="">
      <xdr:nvSpPr>
        <xdr:cNvPr id="23" name="Rectangle: Rounded Corners 22">
          <a:extLst>
            <a:ext uri="{FF2B5EF4-FFF2-40B4-BE49-F238E27FC236}">
              <a16:creationId xmlns:a16="http://schemas.microsoft.com/office/drawing/2014/main" id="{D874559B-7CCA-4CE6-BF68-7B4C3ACB37D2}"/>
            </a:ext>
          </a:extLst>
        </xdr:cNvPr>
        <xdr:cNvSpPr/>
      </xdr:nvSpPr>
      <xdr:spPr>
        <a:xfrm>
          <a:off x="3324957" y="869852"/>
          <a:ext cx="2022524" cy="229186"/>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lumMod val="75000"/>
                </a:schemeClr>
              </a:solidFill>
              <a:latin typeface="Arial Black" panose="020B0A04020102020204" pitchFamily="34" charset="0"/>
            </a:rPr>
            <a:t>TOTAL TRANSACTIONS</a:t>
          </a:r>
        </a:p>
      </xdr:txBody>
    </xdr:sp>
    <xdr:clientData/>
  </xdr:twoCellAnchor>
  <xdr:twoCellAnchor>
    <xdr:from>
      <xdr:col>6</xdr:col>
      <xdr:colOff>530468</xdr:colOff>
      <xdr:row>5</xdr:row>
      <xdr:rowOff>169105</xdr:rowOff>
    </xdr:from>
    <xdr:to>
      <xdr:col>7</xdr:col>
      <xdr:colOff>553329</xdr:colOff>
      <xdr:row>8</xdr:row>
      <xdr:rowOff>16412</xdr:rowOff>
    </xdr:to>
    <xdr:sp macro="" textlink="Analysis!$A$4">
      <xdr:nvSpPr>
        <xdr:cNvPr id="24" name="Rectangle: Rounded Corners 23">
          <a:extLst>
            <a:ext uri="{FF2B5EF4-FFF2-40B4-BE49-F238E27FC236}">
              <a16:creationId xmlns:a16="http://schemas.microsoft.com/office/drawing/2014/main" id="{98A04AAD-3980-4893-9591-E4D03CD38792}"/>
            </a:ext>
          </a:extLst>
        </xdr:cNvPr>
        <xdr:cNvSpPr/>
      </xdr:nvSpPr>
      <xdr:spPr>
        <a:xfrm>
          <a:off x="4179276" y="1084970"/>
          <a:ext cx="630995" cy="396827"/>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2BD3C1-8D58-463E-9F36-2E242D285E9B}" type="TxLink">
            <a:rPr lang="en-US" sz="1400" b="1" i="0" u="none" strike="noStrike">
              <a:solidFill>
                <a:schemeClr val="accent1">
                  <a:lumMod val="75000"/>
                </a:schemeClr>
              </a:solidFill>
              <a:latin typeface="Arial Black" panose="020B0A04020102020204" pitchFamily="34" charset="0"/>
              <a:ea typeface="Calibri"/>
              <a:cs typeface="Calibri"/>
            </a:rPr>
            <a:pPr algn="ctr"/>
            <a:t>500</a:t>
          </a:fld>
          <a:endParaRPr lang="en-IN" sz="1400" b="1">
            <a:solidFill>
              <a:schemeClr val="accent1">
                <a:lumMod val="75000"/>
              </a:schemeClr>
            </a:solidFill>
            <a:latin typeface="Arial Black" panose="020B0A04020102020204" pitchFamily="34" charset="0"/>
          </a:endParaRPr>
        </a:p>
      </xdr:txBody>
    </xdr:sp>
    <xdr:clientData/>
  </xdr:twoCellAnchor>
  <xdr:twoCellAnchor>
    <xdr:from>
      <xdr:col>6</xdr:col>
      <xdr:colOff>27842</xdr:colOff>
      <xdr:row>5</xdr:row>
      <xdr:rowOff>167933</xdr:rowOff>
    </xdr:from>
    <xdr:to>
      <xdr:col>6</xdr:col>
      <xdr:colOff>597876</xdr:colOff>
      <xdr:row>7</xdr:row>
      <xdr:rowOff>145073</xdr:rowOff>
    </xdr:to>
    <xdr:sp macro="" textlink="Analysis!$A$4">
      <xdr:nvSpPr>
        <xdr:cNvPr id="26" name="Rectangle: Rounded Corners 25">
          <a:extLst>
            <a:ext uri="{FF2B5EF4-FFF2-40B4-BE49-F238E27FC236}">
              <a16:creationId xmlns:a16="http://schemas.microsoft.com/office/drawing/2014/main" id="{A1541614-5C2E-4E55-88E5-593EE09E3783}"/>
            </a:ext>
          </a:extLst>
        </xdr:cNvPr>
        <xdr:cNvSpPr/>
      </xdr:nvSpPr>
      <xdr:spPr>
        <a:xfrm>
          <a:off x="3676650" y="1083798"/>
          <a:ext cx="570034" cy="343487"/>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accent1">
                  <a:lumMod val="75000"/>
                </a:schemeClr>
              </a:solidFill>
              <a:latin typeface="+mn-lt"/>
              <a:ea typeface="+mn-ea"/>
              <a:cs typeface="+mn-cs"/>
            </a:rPr>
            <a:t>🧾    </a:t>
          </a:r>
          <a:endParaRPr lang="en-IN" sz="1600" b="0">
            <a:solidFill>
              <a:schemeClr val="accent1">
                <a:lumMod val="75000"/>
              </a:schemeClr>
            </a:solidFill>
            <a:latin typeface="Arial Black" panose="020B0A04020102020204" pitchFamily="34" charset="0"/>
          </a:endParaRPr>
        </a:p>
      </xdr:txBody>
    </xdr:sp>
    <xdr:clientData/>
  </xdr:twoCellAnchor>
  <xdr:twoCellAnchor>
    <xdr:from>
      <xdr:col>9</xdr:col>
      <xdr:colOff>121920</xdr:colOff>
      <xdr:row>6</xdr:row>
      <xdr:rowOff>38100</xdr:rowOff>
    </xdr:from>
    <xdr:to>
      <xdr:col>9</xdr:col>
      <xdr:colOff>556260</xdr:colOff>
      <xdr:row>7</xdr:row>
      <xdr:rowOff>129540</xdr:rowOff>
    </xdr:to>
    <xdr:sp macro="" textlink="Analysis!$A$4">
      <xdr:nvSpPr>
        <xdr:cNvPr id="27" name="Rectangle: Rounded Corners 26">
          <a:extLst>
            <a:ext uri="{FF2B5EF4-FFF2-40B4-BE49-F238E27FC236}">
              <a16:creationId xmlns:a16="http://schemas.microsoft.com/office/drawing/2014/main" id="{8B7D4E03-AA15-4D32-93CF-B7EA279C1184}"/>
            </a:ext>
          </a:extLst>
        </xdr:cNvPr>
        <xdr:cNvSpPr/>
      </xdr:nvSpPr>
      <xdr:spPr>
        <a:xfrm>
          <a:off x="5608320" y="1135380"/>
          <a:ext cx="434340" cy="274320"/>
        </a:xfrm>
        <a:prstGeom prst="roundRect">
          <a:avLst>
            <a:gd name="adj" fmla="val 44969"/>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t>
          </a:r>
          <a:r>
            <a:rPr lang="en-IN" sz="1600" b="1" i="0" u="none" strike="noStrike">
              <a:solidFill>
                <a:schemeClr val="accent1">
                  <a:lumMod val="75000"/>
                </a:schemeClr>
              </a:solidFill>
              <a:latin typeface="+mn-lt"/>
              <a:ea typeface="+mn-ea"/>
              <a:cs typeface="+mn-cs"/>
            </a:rPr>
            <a:t>    </a:t>
          </a:r>
          <a:endParaRPr lang="en-IN" sz="1600" b="1">
            <a:solidFill>
              <a:schemeClr val="accent1">
                <a:lumMod val="75000"/>
              </a:schemeClr>
            </a:solidFill>
            <a:latin typeface="Arial Black" panose="020B0A04020102020204" pitchFamily="34" charset="0"/>
          </a:endParaRPr>
        </a:p>
      </xdr:txBody>
    </xdr:sp>
    <xdr:clientData/>
  </xdr:twoCellAnchor>
  <xdr:twoCellAnchor>
    <xdr:from>
      <xdr:col>9</xdr:col>
      <xdr:colOff>449580</xdr:colOff>
      <xdr:row>6</xdr:row>
      <xdr:rowOff>60960</xdr:rowOff>
    </xdr:from>
    <xdr:to>
      <xdr:col>11</xdr:col>
      <xdr:colOff>472440</xdr:colOff>
      <xdr:row>7</xdr:row>
      <xdr:rowOff>167640</xdr:rowOff>
    </xdr:to>
    <xdr:sp macro="" textlink="Analysis!$L$11">
      <xdr:nvSpPr>
        <xdr:cNvPr id="28" name="Rectangle: Rounded Corners 27">
          <a:extLst>
            <a:ext uri="{FF2B5EF4-FFF2-40B4-BE49-F238E27FC236}">
              <a16:creationId xmlns:a16="http://schemas.microsoft.com/office/drawing/2014/main" id="{3F5A7DB8-5709-42B5-A5C1-1608F49565AC}"/>
            </a:ext>
          </a:extLst>
        </xdr:cNvPr>
        <xdr:cNvSpPr/>
      </xdr:nvSpPr>
      <xdr:spPr>
        <a:xfrm>
          <a:off x="5935980" y="1158240"/>
          <a:ext cx="1242060" cy="28956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04D4383-1B7D-42E1-8D95-1FE275B81A58}" type="TxLink">
            <a:rPr lang="en-US" sz="1100" b="1" i="0" u="none" strike="noStrike">
              <a:solidFill>
                <a:schemeClr val="accent1">
                  <a:lumMod val="75000"/>
                </a:schemeClr>
              </a:solidFill>
              <a:latin typeface="Arial Black" panose="020B0A04020102020204" pitchFamily="34" charset="0"/>
              <a:ea typeface="Calibri"/>
              <a:cs typeface="Calibri"/>
            </a:rPr>
            <a:pPr algn="ctr"/>
            <a:t>₹ 9,39,33,780</a:t>
          </a:fld>
          <a:endParaRPr lang="en-IN" sz="1600" b="1">
            <a:solidFill>
              <a:schemeClr val="accent1">
                <a:lumMod val="75000"/>
              </a:schemeClr>
            </a:solidFill>
            <a:latin typeface="Arial Black" panose="020B0A04020102020204" pitchFamily="34" charset="0"/>
          </a:endParaRPr>
        </a:p>
      </xdr:txBody>
    </xdr:sp>
    <xdr:clientData/>
  </xdr:twoCellAnchor>
  <xdr:twoCellAnchor>
    <xdr:from>
      <xdr:col>12</xdr:col>
      <xdr:colOff>251460</xdr:colOff>
      <xdr:row>6</xdr:row>
      <xdr:rowOff>15240</xdr:rowOff>
    </xdr:from>
    <xdr:to>
      <xdr:col>13</xdr:col>
      <xdr:colOff>297180</xdr:colOff>
      <xdr:row>7</xdr:row>
      <xdr:rowOff>160020</xdr:rowOff>
    </xdr:to>
    <xdr:sp macro="" textlink="Analysis!$A$4">
      <xdr:nvSpPr>
        <xdr:cNvPr id="30" name="Rectangle: Rounded Corners 29">
          <a:extLst>
            <a:ext uri="{FF2B5EF4-FFF2-40B4-BE49-F238E27FC236}">
              <a16:creationId xmlns:a16="http://schemas.microsoft.com/office/drawing/2014/main" id="{84686881-BA5F-4C26-B7F2-B369660DC8C8}"/>
            </a:ext>
          </a:extLst>
        </xdr:cNvPr>
        <xdr:cNvSpPr/>
      </xdr:nvSpPr>
      <xdr:spPr>
        <a:xfrm>
          <a:off x="7566660" y="1112520"/>
          <a:ext cx="655320" cy="327660"/>
        </a:xfrm>
        <a:prstGeom prst="roundRect">
          <a:avLst>
            <a:gd name="adj" fmla="val 8969"/>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t>
          </a:r>
          <a:r>
            <a:rPr lang="en-IN" sz="1600" b="1" i="0" u="none" strike="noStrike">
              <a:solidFill>
                <a:schemeClr val="accent1">
                  <a:lumMod val="75000"/>
                </a:schemeClr>
              </a:solidFill>
              <a:latin typeface="+mn-lt"/>
              <a:ea typeface="+mn-ea"/>
              <a:cs typeface="+mn-cs"/>
            </a:rPr>
            <a:t>    </a:t>
          </a:r>
          <a:endParaRPr lang="en-IN" sz="1600" b="1">
            <a:solidFill>
              <a:schemeClr val="accent1">
                <a:lumMod val="75000"/>
              </a:schemeClr>
            </a:solidFill>
            <a:latin typeface="Arial Black" panose="020B0A04020102020204" pitchFamily="34" charset="0"/>
          </a:endParaRPr>
        </a:p>
      </xdr:txBody>
    </xdr:sp>
    <xdr:clientData/>
  </xdr:twoCellAnchor>
  <xdr:twoCellAnchor>
    <xdr:from>
      <xdr:col>13</xdr:col>
      <xdr:colOff>76200</xdr:colOff>
      <xdr:row>6</xdr:row>
      <xdr:rowOff>45720</xdr:rowOff>
    </xdr:from>
    <xdr:to>
      <xdr:col>14</xdr:col>
      <xdr:colOff>228600</xdr:colOff>
      <xdr:row>7</xdr:row>
      <xdr:rowOff>167640</xdr:rowOff>
    </xdr:to>
    <xdr:sp macro="" textlink="Analysis!$L$15">
      <xdr:nvSpPr>
        <xdr:cNvPr id="31" name="Rectangle: Rounded Corners 30">
          <a:extLst>
            <a:ext uri="{FF2B5EF4-FFF2-40B4-BE49-F238E27FC236}">
              <a16:creationId xmlns:a16="http://schemas.microsoft.com/office/drawing/2014/main" id="{39AB9463-CC63-48FE-B25C-0012F9D6D5A4}"/>
            </a:ext>
          </a:extLst>
        </xdr:cNvPr>
        <xdr:cNvSpPr/>
      </xdr:nvSpPr>
      <xdr:spPr>
        <a:xfrm>
          <a:off x="8001000" y="1143000"/>
          <a:ext cx="762000" cy="3048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272738-98A3-4BE8-A2FB-54F2E4609A5F}" type="TxLink">
            <a:rPr lang="en-US" sz="1400" b="1" i="0" u="none" strike="noStrike">
              <a:solidFill>
                <a:schemeClr val="accent1">
                  <a:lumMod val="75000"/>
                </a:schemeClr>
              </a:solidFill>
              <a:latin typeface="Arial Black" panose="020B0A04020102020204" pitchFamily="34" charset="0"/>
              <a:ea typeface="Calibri"/>
              <a:cs typeface="Calibri"/>
            </a:rPr>
            <a:pPr algn="ctr"/>
            <a:t>500</a:t>
          </a:fld>
          <a:endParaRPr lang="en-IN" sz="1400" b="1">
            <a:solidFill>
              <a:schemeClr val="accent1">
                <a:lumMod val="75000"/>
              </a:schemeClr>
            </a:solidFill>
            <a:latin typeface="Arial Black" panose="020B0A04020102020204" pitchFamily="34" charset="0"/>
          </a:endParaRPr>
        </a:p>
      </xdr:txBody>
    </xdr:sp>
    <xdr:clientData/>
  </xdr:twoCellAnchor>
  <xdr:twoCellAnchor>
    <xdr:from>
      <xdr:col>7</xdr:col>
      <xdr:colOff>502920</xdr:colOff>
      <xdr:row>0</xdr:row>
      <xdr:rowOff>53340</xdr:rowOff>
    </xdr:from>
    <xdr:to>
      <xdr:col>20</xdr:col>
      <xdr:colOff>289560</xdr:colOff>
      <xdr:row>2</xdr:row>
      <xdr:rowOff>175260</xdr:rowOff>
    </xdr:to>
    <xdr:sp macro="" textlink="">
      <xdr:nvSpPr>
        <xdr:cNvPr id="32" name="Rectangle: Rounded Corners 31">
          <a:extLst>
            <a:ext uri="{FF2B5EF4-FFF2-40B4-BE49-F238E27FC236}">
              <a16:creationId xmlns:a16="http://schemas.microsoft.com/office/drawing/2014/main" id="{8F148F4B-5951-C73A-611B-9183E0ED32C7}"/>
            </a:ext>
          </a:extLst>
        </xdr:cNvPr>
        <xdr:cNvSpPr/>
      </xdr:nvSpPr>
      <xdr:spPr>
        <a:xfrm>
          <a:off x="4770120" y="53340"/>
          <a:ext cx="7711440" cy="487680"/>
        </a:xfrm>
        <a:prstGeom prst="round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50">
              <a:ln w="0"/>
              <a:solidFill>
                <a:schemeClr val="bg2"/>
              </a:solidFill>
              <a:effectLst>
                <a:innerShdw blurRad="63500" dist="50800" dir="13500000">
                  <a:srgbClr val="000000">
                    <a:alpha val="50000"/>
                  </a:srgbClr>
                </a:innerShdw>
              </a:effectLst>
              <a:latin typeface="Arial Black" panose="020B0A04020102020204" pitchFamily="34" charset="0"/>
            </a:rPr>
            <a:t>BANKING TRANSACTION ANALYTICS DASHBOARD</a:t>
          </a:r>
        </a:p>
      </xdr:txBody>
    </xdr:sp>
    <xdr:clientData/>
  </xdr:twoCellAnchor>
  <xdr:twoCellAnchor>
    <xdr:from>
      <xdr:col>7</xdr:col>
      <xdr:colOff>571500</xdr:colOff>
      <xdr:row>2</xdr:row>
      <xdr:rowOff>91440</xdr:rowOff>
    </xdr:from>
    <xdr:to>
      <xdr:col>14</xdr:col>
      <xdr:colOff>365760</xdr:colOff>
      <xdr:row>3</xdr:row>
      <xdr:rowOff>121920</xdr:rowOff>
    </xdr:to>
    <xdr:sp macro="" textlink="">
      <xdr:nvSpPr>
        <xdr:cNvPr id="33" name="Rectangle 32">
          <a:extLst>
            <a:ext uri="{FF2B5EF4-FFF2-40B4-BE49-F238E27FC236}">
              <a16:creationId xmlns:a16="http://schemas.microsoft.com/office/drawing/2014/main" id="{BB8F54CC-FCC3-FD81-F859-E58F31372630}"/>
            </a:ext>
          </a:extLst>
        </xdr:cNvPr>
        <xdr:cNvSpPr/>
      </xdr:nvSpPr>
      <xdr:spPr>
        <a:xfrm>
          <a:off x="4838700" y="457200"/>
          <a:ext cx="4061460" cy="213360"/>
        </a:xfrm>
        <a:prstGeom prst="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i="1" cap="none" spc="50">
              <a:ln w="0"/>
              <a:solidFill>
                <a:schemeClr val="bg2"/>
              </a:solidFill>
              <a:effectLst>
                <a:innerShdw blurRad="63500" dist="50800" dir="13500000">
                  <a:srgbClr val="000000">
                    <a:alpha val="50000"/>
                  </a:srgbClr>
                </a:innerShdw>
              </a:effectLst>
              <a:latin typeface="Goudy Old Style" panose="02020502050305020303" pitchFamily="18" charset="0"/>
            </a:rPr>
            <a:t>TURNING TRANSACTIONS INTO INSIGHTS</a:t>
          </a:r>
          <a:endParaRPr lang="en-IN" sz="1100" b="1" i="1" cap="none" spc="50">
            <a:ln w="0"/>
            <a:solidFill>
              <a:schemeClr val="bg2"/>
            </a:solidFill>
            <a:effectLst>
              <a:innerShdw blurRad="63500" dist="50800" dir="13500000">
                <a:srgbClr val="000000">
                  <a:alpha val="50000"/>
                </a:srgbClr>
              </a:innerShdw>
            </a:effectLst>
            <a:latin typeface="Goudy Old Style" panose="02020502050305020303" pitchFamily="18" charset="0"/>
          </a:endParaRPr>
        </a:p>
      </xdr:txBody>
    </xdr:sp>
    <xdr:clientData/>
  </xdr:twoCellAnchor>
  <xdr:twoCellAnchor editAs="oneCell">
    <xdr:from>
      <xdr:col>6</xdr:col>
      <xdr:colOff>15240</xdr:colOff>
      <xdr:row>0</xdr:row>
      <xdr:rowOff>26297</xdr:rowOff>
    </xdr:from>
    <xdr:to>
      <xdr:col>7</xdr:col>
      <xdr:colOff>94837</xdr:colOff>
      <xdr:row>3</xdr:row>
      <xdr:rowOff>175260</xdr:rowOff>
    </xdr:to>
    <xdr:pic>
      <xdr:nvPicPr>
        <xdr:cNvPr id="41" name="Picture 40">
          <a:extLst>
            <a:ext uri="{FF2B5EF4-FFF2-40B4-BE49-F238E27FC236}">
              <a16:creationId xmlns:a16="http://schemas.microsoft.com/office/drawing/2014/main" id="{20F7EC6B-C5B4-4BE5-BA8D-7EDB674069A6}"/>
            </a:ext>
          </a:extLst>
        </xdr:cNvPr>
        <xdr:cNvPicPr>
          <a:picLocks noChangeAspect="1"/>
        </xdr:cNvPicPr>
      </xdr:nvPicPr>
      <xdr:blipFill>
        <a:blip xmlns:r="http://schemas.openxmlformats.org/officeDocument/2006/relationships" r:embed="rId1"/>
        <a:stretch>
          <a:fillRect/>
        </a:stretch>
      </xdr:blipFill>
      <xdr:spPr>
        <a:xfrm>
          <a:off x="3672840" y="26297"/>
          <a:ext cx="689197" cy="697603"/>
        </a:xfrm>
        <a:prstGeom prst="rect">
          <a:avLst/>
        </a:prstGeom>
      </xdr:spPr>
    </xdr:pic>
    <xdr:clientData/>
  </xdr:twoCellAnchor>
  <xdr:twoCellAnchor>
    <xdr:from>
      <xdr:col>12</xdr:col>
      <xdr:colOff>205740</xdr:colOff>
      <xdr:row>7</xdr:row>
      <xdr:rowOff>152400</xdr:rowOff>
    </xdr:from>
    <xdr:to>
      <xdr:col>14</xdr:col>
      <xdr:colOff>335280</xdr:colOff>
      <xdr:row>9</xdr:row>
      <xdr:rowOff>38100</xdr:rowOff>
    </xdr:to>
    <xdr:sp macro="" textlink="">
      <xdr:nvSpPr>
        <xdr:cNvPr id="3077" name="Text Box 5">
          <a:extLst>
            <a:ext uri="{FF2B5EF4-FFF2-40B4-BE49-F238E27FC236}">
              <a16:creationId xmlns:a16="http://schemas.microsoft.com/office/drawing/2014/main" id="{71B301F7-A88A-5E7D-3E6A-DFE04B52F2ED}"/>
            </a:ext>
          </a:extLst>
        </xdr:cNvPr>
        <xdr:cNvSpPr txBox="1">
          <a:spLocks noChangeArrowheads="1"/>
        </xdr:cNvSpPr>
      </xdr:nvSpPr>
      <xdr:spPr bwMode="auto">
        <a:xfrm>
          <a:off x="7520940" y="1432560"/>
          <a:ext cx="1348740" cy="251460"/>
        </a:xfrm>
        <a:prstGeom prst="rect">
          <a:avLst/>
        </a:prstGeom>
        <a:solidFill>
          <a:srgbClr val="FFFFFF"/>
        </a:solidFill>
        <a:ln w="9525">
          <a:solidFill>
            <a:schemeClr val="bg2"/>
          </a:solidFill>
          <a:miter lim="800000"/>
          <a:headEnd/>
          <a:tailEnd/>
        </a:ln>
      </xdr:spPr>
      <xdr:txBody>
        <a:bodyPr vertOverflow="clip" wrap="square" lIns="36576" tIns="32004" rIns="0" bIns="0" anchor="t" upright="1"/>
        <a:lstStyle/>
        <a:p>
          <a:pPr algn="l" rtl="0">
            <a:defRPr sz="1000"/>
          </a:pPr>
          <a:r>
            <a:rPr lang="en-IN" sz="1100">
              <a:solidFill>
                <a:schemeClr val="bg1">
                  <a:lumMod val="65000"/>
                </a:schemeClr>
              </a:solidFill>
            </a:rPr>
            <a:t>    </a:t>
          </a:r>
          <a:r>
            <a:rPr lang="en-IN" sz="1100" baseline="0">
              <a:solidFill>
                <a:schemeClr val="bg1">
                  <a:lumMod val="65000"/>
                </a:schemeClr>
              </a:solidFill>
            </a:rPr>
            <a:t> </a:t>
          </a:r>
          <a:r>
            <a:rPr lang="en-IN" sz="1100">
              <a:solidFill>
                <a:schemeClr val="bg1">
                  <a:lumMod val="65000"/>
                </a:schemeClr>
              </a:solidFill>
            </a:rPr>
            <a:t>Customers Served</a:t>
          </a:r>
          <a:endParaRPr lang="en-IN" sz="1100" b="0" i="0" u="none" strike="noStrike" baseline="0">
            <a:solidFill>
              <a:schemeClr val="bg1">
                <a:lumMod val="65000"/>
              </a:schemeClr>
            </a:solidFill>
            <a:latin typeface="Calibri"/>
            <a:ea typeface="Calibri"/>
            <a:cs typeface="Calibri"/>
          </a:endParaRPr>
        </a:p>
      </xdr:txBody>
    </xdr:sp>
    <xdr:clientData/>
  </xdr:twoCellAnchor>
  <xdr:twoCellAnchor>
    <xdr:from>
      <xdr:col>5</xdr:col>
      <xdr:colOff>586740</xdr:colOff>
      <xdr:row>7</xdr:row>
      <xdr:rowOff>152400</xdr:rowOff>
    </xdr:from>
    <xdr:to>
      <xdr:col>8</xdr:col>
      <xdr:colOff>289560</xdr:colOff>
      <xdr:row>9</xdr:row>
      <xdr:rowOff>45720</xdr:rowOff>
    </xdr:to>
    <xdr:sp macro="" textlink="">
      <xdr:nvSpPr>
        <xdr:cNvPr id="3078" name="Text Box 6">
          <a:extLst>
            <a:ext uri="{FF2B5EF4-FFF2-40B4-BE49-F238E27FC236}">
              <a16:creationId xmlns:a16="http://schemas.microsoft.com/office/drawing/2014/main" id="{0CAF91C7-88A5-4E0B-F988-9428941BD2F6}"/>
            </a:ext>
          </a:extLst>
        </xdr:cNvPr>
        <xdr:cNvSpPr txBox="1">
          <a:spLocks noChangeArrowheads="1"/>
        </xdr:cNvSpPr>
      </xdr:nvSpPr>
      <xdr:spPr bwMode="auto">
        <a:xfrm>
          <a:off x="3634740" y="1432560"/>
          <a:ext cx="1531620" cy="259080"/>
        </a:xfrm>
        <a:prstGeom prst="rect">
          <a:avLst/>
        </a:prstGeom>
        <a:solidFill>
          <a:schemeClr val="bg2"/>
        </a:solidFill>
        <a:ln w="9525">
          <a:solidFill>
            <a:schemeClr val="bg1"/>
          </a:solid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lumMod val="65000"/>
                </a:schemeClr>
              </a:solidFill>
              <a:latin typeface="Calibri"/>
              <a:ea typeface="Calibri"/>
              <a:cs typeface="Calibri"/>
            </a:rPr>
            <a:t>Transactions This Period</a:t>
          </a:r>
        </a:p>
      </xdr:txBody>
    </xdr:sp>
    <xdr:clientData/>
  </xdr:twoCellAnchor>
  <xdr:twoCellAnchor>
    <xdr:from>
      <xdr:col>9</xdr:col>
      <xdr:colOff>342900</xdr:colOff>
      <xdr:row>7</xdr:row>
      <xdr:rowOff>160020</xdr:rowOff>
    </xdr:from>
    <xdr:to>
      <xdr:col>11</xdr:col>
      <xdr:colOff>297180</xdr:colOff>
      <xdr:row>8</xdr:row>
      <xdr:rowOff>167640</xdr:rowOff>
    </xdr:to>
    <xdr:sp macro="" textlink="">
      <xdr:nvSpPr>
        <xdr:cNvPr id="3079" name="Text Box 7">
          <a:extLst>
            <a:ext uri="{FF2B5EF4-FFF2-40B4-BE49-F238E27FC236}">
              <a16:creationId xmlns:a16="http://schemas.microsoft.com/office/drawing/2014/main" id="{7FAA9415-FB6C-5DD0-41DE-CF3D2D633A75}"/>
            </a:ext>
          </a:extLst>
        </xdr:cNvPr>
        <xdr:cNvSpPr txBox="1">
          <a:spLocks noChangeArrowheads="1"/>
        </xdr:cNvSpPr>
      </xdr:nvSpPr>
      <xdr:spPr bwMode="auto">
        <a:xfrm>
          <a:off x="5829300" y="1440180"/>
          <a:ext cx="1173480" cy="190500"/>
        </a:xfrm>
        <a:prstGeom prst="rect">
          <a:avLst/>
        </a:prstGeom>
        <a:solidFill>
          <a:srgbClr val="FFFFFF"/>
        </a:solidFill>
        <a:ln w="9525">
          <a:solidFill>
            <a:schemeClr val="bg2"/>
          </a:solidFill>
          <a:miter lim="800000"/>
          <a:headEnd/>
          <a:tailEnd/>
        </a:ln>
      </xdr:spPr>
      <xdr:txBody>
        <a:bodyPr vertOverflow="clip" wrap="square" lIns="36576" tIns="32004" rIns="0" bIns="0" anchor="ctr" upright="1"/>
        <a:lstStyle/>
        <a:p>
          <a:pPr algn="ctr" rtl="0">
            <a:defRPr sz="1000"/>
          </a:pPr>
          <a:r>
            <a:rPr lang="en-IN" sz="1100">
              <a:solidFill>
                <a:schemeClr val="bg1">
                  <a:lumMod val="65000"/>
                </a:schemeClr>
              </a:solidFill>
            </a:rPr>
            <a:t>Income This Period</a:t>
          </a:r>
          <a:endParaRPr lang="en-IN" sz="1100" b="0" i="0" u="none" strike="noStrike" baseline="0">
            <a:solidFill>
              <a:schemeClr val="bg1">
                <a:lumMod val="65000"/>
              </a:schemeClr>
            </a:solidFill>
            <a:latin typeface="Calibri"/>
            <a:ea typeface="Calibri"/>
            <a:cs typeface="Calibri"/>
          </a:endParaRPr>
        </a:p>
      </xdr:txBody>
    </xdr:sp>
    <xdr:clientData/>
  </xdr:twoCellAnchor>
  <xdr:twoCellAnchor>
    <xdr:from>
      <xdr:col>18</xdr:col>
      <xdr:colOff>243840</xdr:colOff>
      <xdr:row>6</xdr:row>
      <xdr:rowOff>15240</xdr:rowOff>
    </xdr:from>
    <xdr:to>
      <xdr:col>19</xdr:col>
      <xdr:colOff>289560</xdr:colOff>
      <xdr:row>8</xdr:row>
      <xdr:rowOff>30480</xdr:rowOff>
    </xdr:to>
    <xdr:sp macro="" textlink="Analysis!$A$4">
      <xdr:nvSpPr>
        <xdr:cNvPr id="43" name="Rectangle: Rounded Corners 42">
          <a:extLst>
            <a:ext uri="{FF2B5EF4-FFF2-40B4-BE49-F238E27FC236}">
              <a16:creationId xmlns:a16="http://schemas.microsoft.com/office/drawing/2014/main" id="{51227A1F-04C3-43B9-B588-A4873FBE4E5F}"/>
            </a:ext>
          </a:extLst>
        </xdr:cNvPr>
        <xdr:cNvSpPr/>
      </xdr:nvSpPr>
      <xdr:spPr>
        <a:xfrm>
          <a:off x="11216640" y="1112520"/>
          <a:ext cx="655320" cy="381000"/>
        </a:xfrm>
        <a:prstGeom prst="roundRect">
          <a:avLst>
            <a:gd name="adj" fmla="val 44969"/>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t>
          </a:r>
          <a:r>
            <a:rPr lang="en-IN" sz="1600" b="1" i="0" u="none" strike="noStrike">
              <a:solidFill>
                <a:schemeClr val="accent1">
                  <a:lumMod val="75000"/>
                </a:schemeClr>
              </a:solidFill>
              <a:latin typeface="+mn-lt"/>
              <a:ea typeface="+mn-ea"/>
              <a:cs typeface="+mn-cs"/>
            </a:rPr>
            <a:t>    </a:t>
          </a:r>
          <a:endParaRPr lang="en-IN" sz="1600" b="1">
            <a:solidFill>
              <a:schemeClr val="accent1">
                <a:lumMod val="75000"/>
              </a:schemeClr>
            </a:solidFill>
            <a:latin typeface="Arial Black" panose="020B0A04020102020204" pitchFamily="34" charset="0"/>
          </a:endParaRPr>
        </a:p>
      </xdr:txBody>
    </xdr:sp>
    <xdr:clientData/>
  </xdr:twoCellAnchor>
  <xdr:twoCellAnchor>
    <xdr:from>
      <xdr:col>19</xdr:col>
      <xdr:colOff>243840</xdr:colOff>
      <xdr:row>6</xdr:row>
      <xdr:rowOff>22860</xdr:rowOff>
    </xdr:from>
    <xdr:to>
      <xdr:col>20</xdr:col>
      <xdr:colOff>160020</xdr:colOff>
      <xdr:row>8</xdr:row>
      <xdr:rowOff>68580</xdr:rowOff>
    </xdr:to>
    <xdr:sp macro="" textlink="Analysis!F36">
      <xdr:nvSpPr>
        <xdr:cNvPr id="44" name="Rectangle: Rounded Corners 43">
          <a:extLst>
            <a:ext uri="{FF2B5EF4-FFF2-40B4-BE49-F238E27FC236}">
              <a16:creationId xmlns:a16="http://schemas.microsoft.com/office/drawing/2014/main" id="{B43E9852-DA6F-4C23-827E-1A9AE3E7E325}"/>
            </a:ext>
          </a:extLst>
        </xdr:cNvPr>
        <xdr:cNvSpPr/>
      </xdr:nvSpPr>
      <xdr:spPr>
        <a:xfrm>
          <a:off x="11826240" y="1120140"/>
          <a:ext cx="525780" cy="41148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8A8896-1EAA-464F-A2CB-9A4EB8DE5E43}" type="TxLink">
            <a:rPr lang="en-US" sz="1200" b="1" i="0" u="none" strike="noStrike">
              <a:solidFill>
                <a:schemeClr val="accent1">
                  <a:lumMod val="75000"/>
                </a:schemeClr>
              </a:solidFill>
              <a:latin typeface="Arial Black" panose="020B0A04020102020204" pitchFamily="34" charset="0"/>
              <a:ea typeface="Calibri"/>
              <a:cs typeface="Calibri"/>
            </a:rPr>
            <a:pPr algn="ctr"/>
            <a:t>25</a:t>
          </a:fld>
          <a:endParaRPr lang="en-IN" sz="1200" b="1" i="0" u="none" strike="noStrike">
            <a:solidFill>
              <a:schemeClr val="accent1">
                <a:lumMod val="75000"/>
              </a:schemeClr>
            </a:solidFill>
            <a:latin typeface="Arial Black" panose="020B0A04020102020204" pitchFamily="34" charset="0"/>
            <a:ea typeface="Calibri"/>
            <a:cs typeface="Calibri"/>
          </a:endParaRPr>
        </a:p>
      </xdr:txBody>
    </xdr:sp>
    <xdr:clientData/>
  </xdr:twoCellAnchor>
  <xdr:twoCellAnchor>
    <xdr:from>
      <xdr:col>18</xdr:col>
      <xdr:colOff>320040</xdr:colOff>
      <xdr:row>7</xdr:row>
      <xdr:rowOff>152400</xdr:rowOff>
    </xdr:from>
    <xdr:to>
      <xdr:col>20</xdr:col>
      <xdr:colOff>152400</xdr:colOff>
      <xdr:row>8</xdr:row>
      <xdr:rowOff>167640</xdr:rowOff>
    </xdr:to>
    <xdr:sp macro="" textlink="">
      <xdr:nvSpPr>
        <xdr:cNvPr id="3080" name="Text Box 8">
          <a:extLst>
            <a:ext uri="{FF2B5EF4-FFF2-40B4-BE49-F238E27FC236}">
              <a16:creationId xmlns:a16="http://schemas.microsoft.com/office/drawing/2014/main" id="{275B0F77-BD92-AD5E-A808-BFBC7AEF0574}"/>
            </a:ext>
          </a:extLst>
        </xdr:cNvPr>
        <xdr:cNvSpPr txBox="1">
          <a:spLocks noChangeArrowheads="1"/>
        </xdr:cNvSpPr>
      </xdr:nvSpPr>
      <xdr:spPr bwMode="auto">
        <a:xfrm>
          <a:off x="11292840" y="1432560"/>
          <a:ext cx="1051560" cy="198120"/>
        </a:xfrm>
        <a:prstGeom prst="rect">
          <a:avLst/>
        </a:prstGeom>
        <a:solidFill>
          <a:srgbClr val="FFFFFF"/>
        </a:solidFill>
        <a:ln w="9525">
          <a:solidFill>
            <a:schemeClr val="bg2"/>
          </a:solid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lumMod val="65000"/>
                </a:schemeClr>
              </a:solidFill>
              <a:latin typeface="Calibri"/>
              <a:ea typeface="Calibri"/>
              <a:cs typeface="Calibri"/>
            </a:rPr>
            <a:t>Branch Network</a:t>
          </a:r>
        </a:p>
      </xdr:txBody>
    </xdr:sp>
    <xdr:clientData/>
  </xdr:twoCellAnchor>
  <xdr:twoCellAnchor>
    <xdr:from>
      <xdr:col>22</xdr:col>
      <xdr:colOff>68580</xdr:colOff>
      <xdr:row>5</xdr:row>
      <xdr:rowOff>152400</xdr:rowOff>
    </xdr:from>
    <xdr:to>
      <xdr:col>22</xdr:col>
      <xdr:colOff>594360</xdr:colOff>
      <xdr:row>8</xdr:row>
      <xdr:rowOff>15240</xdr:rowOff>
    </xdr:to>
    <xdr:sp macro="" textlink="Analysis!J38">
      <xdr:nvSpPr>
        <xdr:cNvPr id="45" name="Rectangle: Rounded Corners 44">
          <a:extLst>
            <a:ext uri="{FF2B5EF4-FFF2-40B4-BE49-F238E27FC236}">
              <a16:creationId xmlns:a16="http://schemas.microsoft.com/office/drawing/2014/main" id="{C32B5CA2-3806-4223-BE47-A7C4E975D527}"/>
            </a:ext>
          </a:extLst>
        </xdr:cNvPr>
        <xdr:cNvSpPr/>
      </xdr:nvSpPr>
      <xdr:spPr>
        <a:xfrm>
          <a:off x="13479780" y="1066800"/>
          <a:ext cx="525780" cy="41148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CE1E55-101F-41D2-B8F6-CA6BF7DFF462}" type="TxLink">
            <a:rPr lang="en-US" sz="1400" b="1" i="0" u="none" strike="noStrike">
              <a:solidFill>
                <a:schemeClr val="accent1">
                  <a:lumMod val="75000"/>
                </a:schemeClr>
              </a:solidFill>
              <a:latin typeface="Arial Black" panose="020B0A04020102020204" pitchFamily="34" charset="0"/>
              <a:ea typeface="Calibri"/>
              <a:cs typeface="Calibri"/>
            </a:rPr>
            <a:pPr algn="ctr"/>
            <a:t>5</a:t>
          </a:fld>
          <a:endParaRPr lang="en-IN" sz="1400" b="1" i="0" u="none" strike="noStrike">
            <a:solidFill>
              <a:schemeClr val="accent1">
                <a:lumMod val="75000"/>
              </a:schemeClr>
            </a:solidFill>
            <a:latin typeface="Arial Black" panose="020B0A04020102020204" pitchFamily="34" charset="0"/>
            <a:ea typeface="Calibri"/>
            <a:cs typeface="Calibri"/>
          </a:endParaRPr>
        </a:p>
      </xdr:txBody>
    </xdr:sp>
    <xdr:clientData/>
  </xdr:twoCellAnchor>
  <xdr:twoCellAnchor>
    <xdr:from>
      <xdr:col>20</xdr:col>
      <xdr:colOff>586740</xdr:colOff>
      <xdr:row>4</xdr:row>
      <xdr:rowOff>129540</xdr:rowOff>
    </xdr:from>
    <xdr:to>
      <xdr:col>23</xdr:col>
      <xdr:colOff>350520</xdr:colOff>
      <xdr:row>6</xdr:row>
      <xdr:rowOff>30480</xdr:rowOff>
    </xdr:to>
    <xdr:sp macro="" textlink="Analysis!F36">
      <xdr:nvSpPr>
        <xdr:cNvPr id="48" name="Rectangle: Rounded Corners 47">
          <a:extLst>
            <a:ext uri="{FF2B5EF4-FFF2-40B4-BE49-F238E27FC236}">
              <a16:creationId xmlns:a16="http://schemas.microsoft.com/office/drawing/2014/main" id="{BD8A9638-46BE-4EE5-91E4-17E48C0C49D9}"/>
            </a:ext>
          </a:extLst>
        </xdr:cNvPr>
        <xdr:cNvSpPr/>
      </xdr:nvSpPr>
      <xdr:spPr>
        <a:xfrm>
          <a:off x="12778740" y="861060"/>
          <a:ext cx="1592580" cy="2667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accent1">
                  <a:lumMod val="75000"/>
                </a:schemeClr>
              </a:solidFill>
              <a:latin typeface="Arial Black" panose="020B0A04020102020204" pitchFamily="34" charset="0"/>
            </a:rPr>
            <a:t>Payment Modes</a:t>
          </a:r>
          <a:endParaRPr lang="en-IN" sz="1200" b="1" i="0" u="none" strike="noStrike">
            <a:solidFill>
              <a:schemeClr val="accent1">
                <a:lumMod val="75000"/>
              </a:schemeClr>
            </a:solidFill>
            <a:latin typeface="Arial Black" panose="020B0A04020102020204" pitchFamily="34" charset="0"/>
            <a:ea typeface="Calibri"/>
            <a:cs typeface="Calibri"/>
          </a:endParaRPr>
        </a:p>
      </xdr:txBody>
    </xdr:sp>
    <xdr:clientData/>
  </xdr:twoCellAnchor>
  <xdr:twoCellAnchor>
    <xdr:from>
      <xdr:col>21</xdr:col>
      <xdr:colOff>297180</xdr:colOff>
      <xdr:row>5</xdr:row>
      <xdr:rowOff>175260</xdr:rowOff>
    </xdr:from>
    <xdr:to>
      <xdr:col>22</xdr:col>
      <xdr:colOff>99060</xdr:colOff>
      <xdr:row>7</xdr:row>
      <xdr:rowOff>160020</xdr:rowOff>
    </xdr:to>
    <xdr:sp macro="" textlink="Analysis!$A$4">
      <xdr:nvSpPr>
        <xdr:cNvPr id="50" name="Rectangle: Rounded Corners 49">
          <a:extLst>
            <a:ext uri="{FF2B5EF4-FFF2-40B4-BE49-F238E27FC236}">
              <a16:creationId xmlns:a16="http://schemas.microsoft.com/office/drawing/2014/main" id="{2BF2AD08-B3C3-4EE3-A1AE-4935A01176A3}"/>
            </a:ext>
          </a:extLst>
        </xdr:cNvPr>
        <xdr:cNvSpPr/>
      </xdr:nvSpPr>
      <xdr:spPr>
        <a:xfrm>
          <a:off x="13098780" y="1089660"/>
          <a:ext cx="411480" cy="350520"/>
        </a:xfrm>
        <a:prstGeom prst="roundRect">
          <a:avLst>
            <a:gd name="adj" fmla="val 44969"/>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t>
          </a:r>
          <a:r>
            <a:rPr lang="en-IN" sz="1600" b="1" i="0" u="none" strike="noStrike">
              <a:solidFill>
                <a:schemeClr val="accent1">
                  <a:lumMod val="75000"/>
                </a:schemeClr>
              </a:solidFill>
              <a:latin typeface="+mn-lt"/>
              <a:ea typeface="+mn-ea"/>
              <a:cs typeface="+mn-cs"/>
            </a:rPr>
            <a:t>    </a:t>
          </a:r>
          <a:endParaRPr lang="en-IN" sz="1600" b="1">
            <a:solidFill>
              <a:schemeClr val="accent1">
                <a:lumMod val="75000"/>
              </a:schemeClr>
            </a:solidFill>
            <a:latin typeface="Arial Black" panose="020B0A04020102020204" pitchFamily="34" charset="0"/>
          </a:endParaRPr>
        </a:p>
      </xdr:txBody>
    </xdr:sp>
    <xdr:clientData/>
  </xdr:twoCellAnchor>
  <xdr:twoCellAnchor>
    <xdr:from>
      <xdr:col>21</xdr:col>
      <xdr:colOff>22860</xdr:colOff>
      <xdr:row>7</xdr:row>
      <xdr:rowOff>137160</xdr:rowOff>
    </xdr:from>
    <xdr:to>
      <xdr:col>23</xdr:col>
      <xdr:colOff>236220</xdr:colOff>
      <xdr:row>9</xdr:row>
      <xdr:rowOff>7620</xdr:rowOff>
    </xdr:to>
    <xdr:sp macro="" textlink="">
      <xdr:nvSpPr>
        <xdr:cNvPr id="3081" name="Text Box 9">
          <a:extLst>
            <a:ext uri="{FF2B5EF4-FFF2-40B4-BE49-F238E27FC236}">
              <a16:creationId xmlns:a16="http://schemas.microsoft.com/office/drawing/2014/main" id="{E6E8849C-19C0-7ECD-7B8E-362ED26888F1}"/>
            </a:ext>
          </a:extLst>
        </xdr:cNvPr>
        <xdr:cNvSpPr txBox="1">
          <a:spLocks noChangeArrowheads="1"/>
        </xdr:cNvSpPr>
      </xdr:nvSpPr>
      <xdr:spPr bwMode="auto">
        <a:xfrm>
          <a:off x="12824460" y="1417320"/>
          <a:ext cx="1432560" cy="236220"/>
        </a:xfrm>
        <a:prstGeom prst="rect">
          <a:avLst/>
        </a:prstGeom>
        <a:solidFill>
          <a:srgbClr val="FFFFFF"/>
        </a:solidFill>
        <a:ln w="9525">
          <a:solidFill>
            <a:schemeClr val="bg2"/>
          </a:solid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lumMod val="65000"/>
                </a:schemeClr>
              </a:solidFill>
              <a:latin typeface="Calibri"/>
              <a:ea typeface="Calibri"/>
              <a:cs typeface="Calibri"/>
            </a:rPr>
            <a:t>Payment Methods Used</a:t>
          </a:r>
        </a:p>
      </xdr:txBody>
    </xdr:sp>
    <xdr:clientData/>
  </xdr:twoCellAnchor>
  <xdr:twoCellAnchor>
    <xdr:from>
      <xdr:col>15</xdr:col>
      <xdr:colOff>45720</xdr:colOff>
      <xdr:row>4</xdr:row>
      <xdr:rowOff>83820</xdr:rowOff>
    </xdr:from>
    <xdr:to>
      <xdr:col>17</xdr:col>
      <xdr:colOff>510540</xdr:colOff>
      <xdr:row>9</xdr:row>
      <xdr:rowOff>83820</xdr:rowOff>
    </xdr:to>
    <xdr:sp macro="" textlink="">
      <xdr:nvSpPr>
        <xdr:cNvPr id="51" name="Rectangle: Rounded Corners 50">
          <a:extLst>
            <a:ext uri="{FF2B5EF4-FFF2-40B4-BE49-F238E27FC236}">
              <a16:creationId xmlns:a16="http://schemas.microsoft.com/office/drawing/2014/main" id="{181DEFF4-1D22-4372-A4B7-0DD018089D96}"/>
            </a:ext>
          </a:extLst>
        </xdr:cNvPr>
        <xdr:cNvSpPr/>
      </xdr:nvSpPr>
      <xdr:spPr>
        <a:xfrm>
          <a:off x="9189720" y="815340"/>
          <a:ext cx="1684020" cy="914400"/>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245214</xdr:colOff>
      <xdr:row>10</xdr:row>
      <xdr:rowOff>12867</xdr:rowOff>
    </xdr:from>
    <xdr:to>
      <xdr:col>10</xdr:col>
      <xdr:colOff>458574</xdr:colOff>
      <xdr:row>24</xdr:row>
      <xdr:rowOff>49218</xdr:rowOff>
    </xdr:to>
    <xdr:sp macro="" textlink="">
      <xdr:nvSpPr>
        <xdr:cNvPr id="52" name="Rectangle: Rounded Corners 51">
          <a:extLst>
            <a:ext uri="{FF2B5EF4-FFF2-40B4-BE49-F238E27FC236}">
              <a16:creationId xmlns:a16="http://schemas.microsoft.com/office/drawing/2014/main" id="{F3A2B782-8422-4D5F-B123-BA4255EF6824}"/>
            </a:ext>
          </a:extLst>
        </xdr:cNvPr>
        <xdr:cNvSpPr/>
      </xdr:nvSpPr>
      <xdr:spPr>
        <a:xfrm>
          <a:off x="3305706" y="1824178"/>
          <a:ext cx="3273852" cy="2572188"/>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434340</xdr:colOff>
      <xdr:row>4</xdr:row>
      <xdr:rowOff>144780</xdr:rowOff>
    </xdr:from>
    <xdr:to>
      <xdr:col>16</xdr:col>
      <xdr:colOff>541020</xdr:colOff>
      <xdr:row>6</xdr:row>
      <xdr:rowOff>30480</xdr:rowOff>
    </xdr:to>
    <xdr:sp macro="" textlink="">
      <xdr:nvSpPr>
        <xdr:cNvPr id="3082" name="Text Box 10">
          <a:extLst>
            <a:ext uri="{FF2B5EF4-FFF2-40B4-BE49-F238E27FC236}">
              <a16:creationId xmlns:a16="http://schemas.microsoft.com/office/drawing/2014/main" id="{78DDA651-F847-CD64-A980-9A69BDA95392}"/>
            </a:ext>
          </a:extLst>
        </xdr:cNvPr>
        <xdr:cNvSpPr txBox="1">
          <a:spLocks noChangeArrowheads="1"/>
        </xdr:cNvSpPr>
      </xdr:nvSpPr>
      <xdr:spPr bwMode="auto">
        <a:xfrm>
          <a:off x="9578340" y="876300"/>
          <a:ext cx="716280" cy="251460"/>
        </a:xfrm>
        <a:prstGeom prst="rect">
          <a:avLst/>
        </a:prstGeom>
        <a:solidFill>
          <a:srgbClr val="FFFFFF"/>
        </a:solidFill>
        <a:ln w="9525">
          <a:solidFill>
            <a:schemeClr val="bg2"/>
          </a:solidFill>
          <a:miter lim="800000"/>
          <a:headEnd/>
          <a:tailEnd/>
        </a:ln>
      </xdr:spPr>
      <xdr:txBody>
        <a:bodyPr vertOverflow="clip" wrap="square" lIns="36576" tIns="32004" rIns="0" bIns="0" anchor="t" upright="1"/>
        <a:lstStyle/>
        <a:p>
          <a:pPr algn="l" rtl="0">
            <a:defRPr sz="1000"/>
          </a:pPr>
          <a:r>
            <a:rPr lang="en-IN" sz="1200" b="1" i="0" u="none" strike="noStrike" baseline="0">
              <a:solidFill>
                <a:schemeClr val="accent1">
                  <a:lumMod val="75000"/>
                </a:schemeClr>
              </a:solidFill>
              <a:latin typeface="Arial Black" panose="020B0A04020102020204" pitchFamily="34" charset="0"/>
              <a:ea typeface="Calibri"/>
              <a:cs typeface="Calibri"/>
            </a:rPr>
            <a:t>Regions</a:t>
          </a:r>
        </a:p>
      </xdr:txBody>
    </xdr:sp>
    <xdr:clientData/>
  </xdr:twoCellAnchor>
  <xdr:twoCellAnchor>
    <xdr:from>
      <xdr:col>16</xdr:col>
      <xdr:colOff>236220</xdr:colOff>
      <xdr:row>6</xdr:row>
      <xdr:rowOff>30480</xdr:rowOff>
    </xdr:from>
    <xdr:to>
      <xdr:col>16</xdr:col>
      <xdr:colOff>594360</xdr:colOff>
      <xdr:row>8</xdr:row>
      <xdr:rowOff>121920</xdr:rowOff>
    </xdr:to>
    <xdr:sp macro="" textlink="Analysis!T36">
      <xdr:nvSpPr>
        <xdr:cNvPr id="55" name="Rectangle: Rounded Corners 54">
          <a:extLst>
            <a:ext uri="{FF2B5EF4-FFF2-40B4-BE49-F238E27FC236}">
              <a16:creationId xmlns:a16="http://schemas.microsoft.com/office/drawing/2014/main" id="{892E9E04-F79A-4A8D-9BA2-AE409114BAB3}"/>
            </a:ext>
          </a:extLst>
        </xdr:cNvPr>
        <xdr:cNvSpPr/>
      </xdr:nvSpPr>
      <xdr:spPr>
        <a:xfrm>
          <a:off x="9989820" y="1127760"/>
          <a:ext cx="358140" cy="45720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AAF872F-31C5-40BB-AC90-8C70BB7E801D}" type="TxLink">
            <a:rPr lang="en-US" sz="1400" b="1" i="0" u="none" strike="noStrike">
              <a:solidFill>
                <a:schemeClr val="accent1">
                  <a:lumMod val="75000"/>
                </a:schemeClr>
              </a:solidFill>
              <a:latin typeface="Arial Black" panose="020B0A04020102020204" pitchFamily="34" charset="0"/>
              <a:ea typeface="Calibri"/>
              <a:cs typeface="Calibri"/>
            </a:rPr>
            <a:pPr algn="ctr"/>
            <a:t>5</a:t>
          </a:fld>
          <a:endParaRPr lang="en-IN" sz="1400" b="1">
            <a:solidFill>
              <a:schemeClr val="accent1">
                <a:lumMod val="75000"/>
              </a:schemeClr>
            </a:solidFill>
            <a:latin typeface="Arial Black" panose="020B0A04020102020204" pitchFamily="34" charset="0"/>
          </a:endParaRPr>
        </a:p>
      </xdr:txBody>
    </xdr:sp>
    <xdr:clientData/>
  </xdr:twoCellAnchor>
  <xdr:twoCellAnchor>
    <xdr:from>
      <xdr:col>15</xdr:col>
      <xdr:colOff>388620</xdr:colOff>
      <xdr:row>6</xdr:row>
      <xdr:rowOff>15240</xdr:rowOff>
    </xdr:from>
    <xdr:to>
      <xdr:col>16</xdr:col>
      <xdr:colOff>266700</xdr:colOff>
      <xdr:row>7</xdr:row>
      <xdr:rowOff>175260</xdr:rowOff>
    </xdr:to>
    <xdr:sp macro="" textlink="Analysis!$A$4">
      <xdr:nvSpPr>
        <xdr:cNvPr id="56" name="Rectangle: Rounded Corners 55">
          <a:extLst>
            <a:ext uri="{FF2B5EF4-FFF2-40B4-BE49-F238E27FC236}">
              <a16:creationId xmlns:a16="http://schemas.microsoft.com/office/drawing/2014/main" id="{F05CE67C-1C98-43D1-B007-B89B58F7D16B}"/>
            </a:ext>
          </a:extLst>
        </xdr:cNvPr>
        <xdr:cNvSpPr/>
      </xdr:nvSpPr>
      <xdr:spPr>
        <a:xfrm>
          <a:off x="9532620" y="1112520"/>
          <a:ext cx="487680" cy="342900"/>
        </a:xfrm>
        <a:prstGeom prst="roundRect">
          <a:avLst>
            <a:gd name="adj" fmla="val 8969"/>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t>
          </a:r>
          <a:endParaRPr lang="en-IN" sz="1600" b="1">
            <a:solidFill>
              <a:schemeClr val="bg2"/>
            </a:solidFill>
            <a:latin typeface="Arial Black" panose="020B0A04020102020204" pitchFamily="34" charset="0"/>
          </a:endParaRPr>
        </a:p>
      </xdr:txBody>
    </xdr:sp>
    <xdr:clientData/>
  </xdr:twoCellAnchor>
  <xdr:twoCellAnchor>
    <xdr:from>
      <xdr:col>15</xdr:col>
      <xdr:colOff>373380</xdr:colOff>
      <xdr:row>7</xdr:row>
      <xdr:rowOff>167640</xdr:rowOff>
    </xdr:from>
    <xdr:to>
      <xdr:col>17</xdr:col>
      <xdr:colOff>114300</xdr:colOff>
      <xdr:row>9</xdr:row>
      <xdr:rowOff>22860</xdr:rowOff>
    </xdr:to>
    <xdr:sp macro="" textlink="">
      <xdr:nvSpPr>
        <xdr:cNvPr id="3087" name="Text Box 15">
          <a:extLst>
            <a:ext uri="{FF2B5EF4-FFF2-40B4-BE49-F238E27FC236}">
              <a16:creationId xmlns:a16="http://schemas.microsoft.com/office/drawing/2014/main" id="{E95A5C00-02CB-CC63-DFBE-CD791B1BFA8B}"/>
            </a:ext>
          </a:extLst>
        </xdr:cNvPr>
        <xdr:cNvSpPr txBox="1">
          <a:spLocks noChangeArrowheads="1"/>
        </xdr:cNvSpPr>
      </xdr:nvSpPr>
      <xdr:spPr bwMode="auto">
        <a:xfrm>
          <a:off x="9517380" y="1447800"/>
          <a:ext cx="960120" cy="220980"/>
        </a:xfrm>
        <a:prstGeom prst="rect">
          <a:avLst/>
        </a:prstGeom>
        <a:solidFill>
          <a:srgbClr val="FFFFFF"/>
        </a:solidFill>
        <a:ln w="9525">
          <a:solidFill>
            <a:schemeClr val="bg2"/>
          </a:solidFill>
          <a:miter lim="800000"/>
          <a:headEnd/>
          <a:tailEnd/>
        </a:ln>
      </xdr:spPr>
      <xdr:txBody>
        <a:bodyPr vertOverflow="clip" wrap="square" lIns="36576" tIns="32004" rIns="0" bIns="0" anchor="t" upright="1"/>
        <a:lstStyle/>
        <a:p>
          <a:pPr algn="l" rtl="0">
            <a:defRPr sz="1000"/>
          </a:pPr>
          <a:r>
            <a:rPr lang="en-IN" sz="1100" b="0" i="0" u="none" strike="noStrike" baseline="0">
              <a:solidFill>
                <a:schemeClr val="bg1">
                  <a:lumMod val="65000"/>
                </a:schemeClr>
              </a:solidFill>
              <a:latin typeface="Calibri"/>
              <a:ea typeface="Calibri"/>
              <a:cs typeface="Calibri"/>
            </a:rPr>
            <a:t>Regions Served</a:t>
          </a:r>
        </a:p>
      </xdr:txBody>
    </xdr:sp>
    <xdr:clientData/>
  </xdr:twoCellAnchor>
  <xdr:twoCellAnchor>
    <xdr:from>
      <xdr:col>5</xdr:col>
      <xdr:colOff>441960</xdr:colOff>
      <xdr:row>11</xdr:row>
      <xdr:rowOff>45720</xdr:rowOff>
    </xdr:from>
    <xdr:to>
      <xdr:col>10</xdr:col>
      <xdr:colOff>129540</xdr:colOff>
      <xdr:row>22</xdr:row>
      <xdr:rowOff>152400</xdr:rowOff>
    </xdr:to>
    <xdr:graphicFrame macro="">
      <xdr:nvGraphicFramePr>
        <xdr:cNvPr id="58" name="Chart 57">
          <a:extLst>
            <a:ext uri="{FF2B5EF4-FFF2-40B4-BE49-F238E27FC236}">
              <a16:creationId xmlns:a16="http://schemas.microsoft.com/office/drawing/2014/main" id="{FF909298-6D4E-438E-85BA-A7C679DD8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196042</xdr:colOff>
      <xdr:row>9</xdr:row>
      <xdr:rowOff>167640</xdr:rowOff>
    </xdr:from>
    <xdr:to>
      <xdr:col>23</xdr:col>
      <xdr:colOff>398319</xdr:colOff>
      <xdr:row>24</xdr:row>
      <xdr:rowOff>8660</xdr:rowOff>
    </xdr:to>
    <xdr:sp macro="" textlink="">
      <xdr:nvSpPr>
        <xdr:cNvPr id="59" name="Rectangle: Rounded Corners 58">
          <a:extLst>
            <a:ext uri="{FF2B5EF4-FFF2-40B4-BE49-F238E27FC236}">
              <a16:creationId xmlns:a16="http://schemas.microsoft.com/office/drawing/2014/main" id="{9BFE41A6-C6AB-4183-B9FC-9BEDAFAC02AC}"/>
            </a:ext>
          </a:extLst>
        </xdr:cNvPr>
        <xdr:cNvSpPr/>
      </xdr:nvSpPr>
      <xdr:spPr>
        <a:xfrm>
          <a:off x="11106497" y="1804208"/>
          <a:ext cx="3232958" cy="2568634"/>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346364</xdr:colOff>
      <xdr:row>11</xdr:row>
      <xdr:rowOff>7620</xdr:rowOff>
    </xdr:from>
    <xdr:to>
      <xdr:col>23</xdr:col>
      <xdr:colOff>190500</xdr:colOff>
      <xdr:row>22</xdr:row>
      <xdr:rowOff>110836</xdr:rowOff>
    </xdr:to>
    <xdr:graphicFrame macro="">
      <xdr:nvGraphicFramePr>
        <xdr:cNvPr id="60" name="Chart 59">
          <a:extLst>
            <a:ext uri="{FF2B5EF4-FFF2-40B4-BE49-F238E27FC236}">
              <a16:creationId xmlns:a16="http://schemas.microsoft.com/office/drawing/2014/main" id="{469253D7-D74C-4F5D-8DBC-5F783D4F2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566997</xdr:colOff>
      <xdr:row>10</xdr:row>
      <xdr:rowOff>13162</xdr:rowOff>
    </xdr:from>
    <xdr:to>
      <xdr:col>18</xdr:col>
      <xdr:colOff>110836</xdr:colOff>
      <xdr:row>24</xdr:row>
      <xdr:rowOff>13855</xdr:rowOff>
    </xdr:to>
    <xdr:sp macro="" textlink="">
      <xdr:nvSpPr>
        <xdr:cNvPr id="61" name="Rectangle: Rounded Corners 60">
          <a:extLst>
            <a:ext uri="{FF2B5EF4-FFF2-40B4-BE49-F238E27FC236}">
              <a16:creationId xmlns:a16="http://schemas.microsoft.com/office/drawing/2014/main" id="{C123789C-F9E0-46CD-81FB-6B6DA25D58D7}"/>
            </a:ext>
          </a:extLst>
        </xdr:cNvPr>
        <xdr:cNvSpPr/>
      </xdr:nvSpPr>
      <xdr:spPr>
        <a:xfrm>
          <a:off x="6662997" y="1814253"/>
          <a:ext cx="4420639" cy="2522220"/>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91440</xdr:colOff>
      <xdr:row>10</xdr:row>
      <xdr:rowOff>152400</xdr:rowOff>
    </xdr:from>
    <xdr:to>
      <xdr:col>17</xdr:col>
      <xdr:colOff>464820</xdr:colOff>
      <xdr:row>22</xdr:row>
      <xdr:rowOff>53340</xdr:rowOff>
    </xdr:to>
    <xdr:graphicFrame macro="">
      <xdr:nvGraphicFramePr>
        <xdr:cNvPr id="62" name="Chart 61">
          <a:extLst>
            <a:ext uri="{FF2B5EF4-FFF2-40B4-BE49-F238E27FC236}">
              <a16:creationId xmlns:a16="http://schemas.microsoft.com/office/drawing/2014/main" id="{F6D1BA16-EEDF-4885-BEF9-C05439935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276085</xdr:colOff>
      <xdr:row>25</xdr:row>
      <xdr:rowOff>47040</xdr:rowOff>
    </xdr:from>
    <xdr:to>
      <xdr:col>11</xdr:col>
      <xdr:colOff>90337</xdr:colOff>
      <xdr:row>39</xdr:row>
      <xdr:rowOff>110435</xdr:rowOff>
    </xdr:to>
    <xdr:sp macro="" textlink="">
      <xdr:nvSpPr>
        <xdr:cNvPr id="63" name="Rectangle: Rounded Corners 62">
          <a:extLst>
            <a:ext uri="{FF2B5EF4-FFF2-40B4-BE49-F238E27FC236}">
              <a16:creationId xmlns:a16="http://schemas.microsoft.com/office/drawing/2014/main" id="{7756A6A5-DFEF-44AB-9F01-0CCCD86EFC57}"/>
            </a:ext>
          </a:extLst>
        </xdr:cNvPr>
        <xdr:cNvSpPr/>
      </xdr:nvSpPr>
      <xdr:spPr>
        <a:xfrm>
          <a:off x="3313042" y="4740518"/>
          <a:ext cx="3458599" cy="2691743"/>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419652</xdr:colOff>
      <xdr:row>26</xdr:row>
      <xdr:rowOff>0</xdr:rowOff>
    </xdr:from>
    <xdr:to>
      <xdr:col>10</xdr:col>
      <xdr:colOff>432678</xdr:colOff>
      <xdr:row>39</xdr:row>
      <xdr:rowOff>28423</xdr:rowOff>
    </xdr:to>
    <xdr:graphicFrame macro="">
      <xdr:nvGraphicFramePr>
        <xdr:cNvPr id="3072" name="Chart 3071">
          <a:extLst>
            <a:ext uri="{FF2B5EF4-FFF2-40B4-BE49-F238E27FC236}">
              <a16:creationId xmlns:a16="http://schemas.microsoft.com/office/drawing/2014/main" id="{20298074-D620-499A-B218-19E311AE5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222948</xdr:colOff>
      <xdr:row>25</xdr:row>
      <xdr:rowOff>54428</xdr:rowOff>
    </xdr:from>
    <xdr:to>
      <xdr:col>17</xdr:col>
      <xdr:colOff>266910</xdr:colOff>
      <xdr:row>39</xdr:row>
      <xdr:rowOff>83497</xdr:rowOff>
    </xdr:to>
    <xdr:sp macro="" textlink="">
      <xdr:nvSpPr>
        <xdr:cNvPr id="3088" name="Rectangle: Rounded Corners 3087">
          <a:extLst>
            <a:ext uri="{FF2B5EF4-FFF2-40B4-BE49-F238E27FC236}">
              <a16:creationId xmlns:a16="http://schemas.microsoft.com/office/drawing/2014/main" id="{DC56CE19-A3B2-443D-B6F7-EDBC1B3CA38D}"/>
            </a:ext>
          </a:extLst>
        </xdr:cNvPr>
        <xdr:cNvSpPr/>
      </xdr:nvSpPr>
      <xdr:spPr>
        <a:xfrm>
          <a:off x="6958484" y="4476749"/>
          <a:ext cx="3717890" cy="2505569"/>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514117</xdr:colOff>
      <xdr:row>25</xdr:row>
      <xdr:rowOff>165742</xdr:rowOff>
    </xdr:from>
    <xdr:to>
      <xdr:col>16</xdr:col>
      <xdr:colOff>603931</xdr:colOff>
      <xdr:row>38</xdr:row>
      <xdr:rowOff>78333</xdr:rowOff>
    </xdr:to>
    <xdr:graphicFrame macro="">
      <xdr:nvGraphicFramePr>
        <xdr:cNvPr id="3089" name="Chart 3088">
          <a:extLst>
            <a:ext uri="{FF2B5EF4-FFF2-40B4-BE49-F238E27FC236}">
              <a16:creationId xmlns:a16="http://schemas.microsoft.com/office/drawing/2014/main" id="{23F64B9F-955B-4ABA-9CA3-6FE6637AD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387927</xdr:colOff>
      <xdr:row>25</xdr:row>
      <xdr:rowOff>65945</xdr:rowOff>
    </xdr:from>
    <xdr:to>
      <xdr:col>23</xdr:col>
      <xdr:colOff>398319</xdr:colOff>
      <xdr:row>39</xdr:row>
      <xdr:rowOff>129886</xdr:rowOff>
    </xdr:to>
    <xdr:sp macro="" textlink="">
      <xdr:nvSpPr>
        <xdr:cNvPr id="3093" name="Rectangle: Rounded Corners 3092">
          <a:extLst>
            <a:ext uri="{FF2B5EF4-FFF2-40B4-BE49-F238E27FC236}">
              <a16:creationId xmlns:a16="http://schemas.microsoft.com/office/drawing/2014/main" id="{C67316E1-35B7-4E67-B643-268B7BBDBED8}"/>
            </a:ext>
          </a:extLst>
        </xdr:cNvPr>
        <xdr:cNvSpPr/>
      </xdr:nvSpPr>
      <xdr:spPr>
        <a:xfrm>
          <a:off x="10692245" y="4611968"/>
          <a:ext cx="3647210" cy="2609713"/>
        </a:xfrm>
        <a:prstGeom prst="roundRect">
          <a:avLst/>
        </a:prstGeom>
        <a:solidFill>
          <a:schemeClr val="bg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586153</xdr:colOff>
      <xdr:row>26</xdr:row>
      <xdr:rowOff>7328</xdr:rowOff>
    </xdr:from>
    <xdr:to>
      <xdr:col>23</xdr:col>
      <xdr:colOff>73268</xdr:colOff>
      <xdr:row>38</xdr:row>
      <xdr:rowOff>58616</xdr:rowOff>
    </xdr:to>
    <xdr:graphicFrame macro="">
      <xdr:nvGraphicFramePr>
        <xdr:cNvPr id="3094" name="Chart 3093">
          <a:extLst>
            <a:ext uri="{FF2B5EF4-FFF2-40B4-BE49-F238E27FC236}">
              <a16:creationId xmlns:a16="http://schemas.microsoft.com/office/drawing/2014/main" id="{44DF15B6-C833-4242-9B91-E78924787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333620</xdr:colOff>
      <xdr:row>0</xdr:row>
      <xdr:rowOff>9389</xdr:rowOff>
    </xdr:from>
    <xdr:to>
      <xdr:col>5</xdr:col>
      <xdr:colOff>149958</xdr:colOff>
      <xdr:row>40</xdr:row>
      <xdr:rowOff>86188</xdr:rowOff>
    </xdr:to>
    <xdr:sp macro="" textlink="">
      <xdr:nvSpPr>
        <xdr:cNvPr id="3095" name="Rectangle 3094">
          <a:extLst>
            <a:ext uri="{FF2B5EF4-FFF2-40B4-BE49-F238E27FC236}">
              <a16:creationId xmlns:a16="http://schemas.microsoft.com/office/drawing/2014/main" id="{0D8A92D6-6057-4147-D7DE-EC80877B826E}"/>
            </a:ext>
          </a:extLst>
        </xdr:cNvPr>
        <xdr:cNvSpPr/>
      </xdr:nvSpPr>
      <xdr:spPr>
        <a:xfrm>
          <a:off x="1549191" y="9389"/>
          <a:ext cx="1639696" cy="7333942"/>
        </a:xfrm>
        <a:prstGeom prst="rect">
          <a:avLst/>
        </a:prstGeom>
        <a:solidFill>
          <a:schemeClr val="bg1">
            <a:lumMod val="8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editAs="oneCell">
    <xdr:from>
      <xdr:col>2</xdr:col>
      <xdr:colOff>534389</xdr:colOff>
      <xdr:row>0</xdr:row>
      <xdr:rowOff>69273</xdr:rowOff>
    </xdr:from>
    <xdr:to>
      <xdr:col>4</xdr:col>
      <xdr:colOff>553156</xdr:colOff>
      <xdr:row>22</xdr:row>
      <xdr:rowOff>163690</xdr:rowOff>
    </xdr:to>
    <mc:AlternateContent xmlns:mc="http://schemas.openxmlformats.org/markup-compatibility/2006" xmlns:a14="http://schemas.microsoft.com/office/drawing/2010/main">
      <mc:Choice Requires="a14">
        <xdr:graphicFrame macro="">
          <xdr:nvGraphicFramePr>
            <xdr:cNvPr id="3096" name="Branch Name 1">
              <a:extLst>
                <a:ext uri="{FF2B5EF4-FFF2-40B4-BE49-F238E27FC236}">
                  <a16:creationId xmlns:a16="http://schemas.microsoft.com/office/drawing/2014/main" id="{3E4332E4-3560-412B-AE46-52EA22CB2E3B}"/>
                </a:ext>
              </a:extLst>
            </xdr:cNvPr>
            <xdr:cNvGraphicFramePr/>
          </xdr:nvGraphicFramePr>
          <xdr:xfrm>
            <a:off x="0" y="0"/>
            <a:ext cx="0" cy="0"/>
          </xdr:xfrm>
          <a:graphic>
            <a:graphicData uri="http://schemas.microsoft.com/office/drawing/2010/slicer">
              <sle:slicer xmlns:sle="http://schemas.microsoft.com/office/drawing/2010/slicer" name="Branch Name 1"/>
            </a:graphicData>
          </a:graphic>
        </xdr:graphicFrame>
      </mc:Choice>
      <mc:Fallback xmlns="">
        <xdr:sp macro="" textlink="">
          <xdr:nvSpPr>
            <xdr:cNvPr id="0" name=""/>
            <xdr:cNvSpPr>
              <a:spLocks noTextEdit="1"/>
            </xdr:cNvSpPr>
          </xdr:nvSpPr>
          <xdr:spPr>
            <a:xfrm>
              <a:off x="1753589" y="69273"/>
              <a:ext cx="1237967" cy="4056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495903</xdr:colOff>
      <xdr:row>23</xdr:row>
      <xdr:rowOff>88699</xdr:rowOff>
    </xdr:from>
    <xdr:to>
      <xdr:col>4</xdr:col>
      <xdr:colOff>564444</xdr:colOff>
      <xdr:row>31</xdr:row>
      <xdr:rowOff>45155</xdr:rowOff>
    </xdr:to>
    <mc:AlternateContent xmlns:mc="http://schemas.openxmlformats.org/markup-compatibility/2006" xmlns:a14="http://schemas.microsoft.com/office/drawing/2010/main">
      <mc:Choice Requires="a14">
        <xdr:graphicFrame macro="">
          <xdr:nvGraphicFramePr>
            <xdr:cNvPr id="3097" name="Payment Mode 1">
              <a:extLst>
                <a:ext uri="{FF2B5EF4-FFF2-40B4-BE49-F238E27FC236}">
                  <a16:creationId xmlns:a16="http://schemas.microsoft.com/office/drawing/2014/main" id="{0A7FD5E1-4D1C-4055-A45E-BF0389B85AFA}"/>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715103" y="4231208"/>
              <a:ext cx="1287741" cy="1397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490003</xdr:colOff>
      <xdr:row>32</xdr:row>
      <xdr:rowOff>9640</xdr:rowOff>
    </xdr:from>
    <xdr:to>
      <xdr:col>4</xdr:col>
      <xdr:colOff>484909</xdr:colOff>
      <xdr:row>40</xdr:row>
      <xdr:rowOff>0</xdr:rowOff>
    </xdr:to>
    <mc:AlternateContent xmlns:mc="http://schemas.openxmlformats.org/markup-compatibility/2006" xmlns:a14="http://schemas.microsoft.com/office/drawing/2010/main">
      <mc:Choice Requires="a14">
        <xdr:graphicFrame macro="">
          <xdr:nvGraphicFramePr>
            <xdr:cNvPr id="3098" name="Transaction Type 1">
              <a:extLst>
                <a:ext uri="{FF2B5EF4-FFF2-40B4-BE49-F238E27FC236}">
                  <a16:creationId xmlns:a16="http://schemas.microsoft.com/office/drawing/2014/main" id="{5BC9A1A6-AC42-468B-BC74-23422D8E0568}"/>
                </a:ext>
              </a:extLst>
            </xdr:cNvPr>
            <xdr:cNvGraphicFramePr/>
          </xdr:nvGraphicFramePr>
          <xdr:xfrm>
            <a:off x="0" y="0"/>
            <a:ext cx="0" cy="0"/>
          </xdr:xfrm>
          <a:graphic>
            <a:graphicData uri="http://schemas.microsoft.com/office/drawing/2010/slicer">
              <sle:slicer xmlns:sle="http://schemas.microsoft.com/office/drawing/2010/slicer" name="Transaction Type 1"/>
            </a:graphicData>
          </a:graphic>
        </xdr:graphicFrame>
      </mc:Choice>
      <mc:Fallback xmlns="">
        <xdr:sp macro="" textlink="">
          <xdr:nvSpPr>
            <xdr:cNvPr id="0" name=""/>
            <xdr:cNvSpPr>
              <a:spLocks noTextEdit="1"/>
            </xdr:cNvSpPr>
          </xdr:nvSpPr>
          <xdr:spPr>
            <a:xfrm>
              <a:off x="1709203" y="5773131"/>
              <a:ext cx="1214106" cy="1431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yapati Susmitha" refreshedDate="46269.959426967594" createdVersion="8" refreshedVersion="8" minRefreshableVersion="3" recordCount="500" xr:uid="{231CD29A-3FF2-4D58-A24D-8E585D7B9250}">
  <cacheSource type="worksheet">
    <worksheetSource ref="A1:T501" sheet="DataSet"/>
  </cacheSource>
  <cacheFields count="21">
    <cacheField name="Transaction ID" numFmtId="0">
      <sharedItems count="500">
        <s v="c906d56a-71d8-4309-80aa-8a668e6dd338"/>
        <s v="bdbca5a9-5d6f-4b32-8e2d-c1ec810a57b1"/>
        <s v="1da2b6df-97ce-4e21-8661-e764b63e2541"/>
        <s v="30ec4db1-c1da-4e6d-a17b-8ac3ed248b37"/>
        <s v="7e2c42ab-e97b-4765-84cc-7615869642b7"/>
        <s v="f6c20666-e23c-41bb-a870-4d16c7379d68"/>
        <s v="6c238a7e-487a-419c-895f-95878bc1a52c"/>
        <s v="bc35e5f4-7c5e-4606-aa23-6d21f8fdc00e"/>
        <s v="e6d3886e-aca3-43c0-bf91-e8d20f87eca1"/>
        <s v="e3a56d54-c6b9-40fb-affd-049c92df79ce"/>
        <s v="f6d81624-e6e6-42d1-8653-88f03bbfb88b"/>
        <s v="ab65a169-4325-491e-9d38-48ef43acc5e5"/>
        <s v="d6f2d03e-286c-462e-8fbd-42ae564d7f34"/>
        <s v="92093123-ee44-409d-aada-080e179fa528"/>
        <s v="4f3c9aea-24f2-4065-98c8-531921030986"/>
        <s v="3605051e-c720-4642-8fa2-6812b5f8ad82"/>
        <s v="fa5483e6-631d-4a81-ad7e-80ae050dc1a1"/>
        <s v="31846b44-390e-4af1-a70c-c978ab1efad5"/>
        <s v="54d3834e-67ff-43b6-8cf2-456017b143bb"/>
        <s v="52c824b7-1470-46e4-b351-74a77fa1c374"/>
        <s v="aa664390-1628-4b67-8902-862a5929cce2"/>
        <s v="3a37175b-933c-43b8-a644-5acf3afbf2e8"/>
        <s v="8c0f7bfc-276c-4883-a5e5-cd788f768448"/>
        <s v="b52faf7c-e341-43b0-8e93-1e949bb276fa"/>
        <s v="4d3c0228-c910-4304-998c-c69bad60908e"/>
        <s v="e3e408df-8ab2-4af6-8e12-f09158f4b325"/>
        <s v="923dc3a9-fb94-4e38-994e-24d9474dce07"/>
        <s v="1b018e9f-c1d9-4335-9aea-1750e89f2193"/>
        <s v="078ed5ed-d1ed-4dc3-9410-a3fed11a38b4"/>
        <s v="5f985d0a-9738-4a30-a647-678e37de19de"/>
        <s v="d3b4166e-2e13-4dd4-9b20-abdcdd79aa5d"/>
        <s v="a449609b-f5b8-4e98-a9e4-452f564bf33c"/>
        <s v="ff59f00c-2f39-4fe2-bab6-ba18ce7b1bb0"/>
        <s v="267b619a-961c-43b1-ade5-663db4cc27b2"/>
        <s v="c2f4e70f-7fae-4f16-a939-f3a4c40a5cb2"/>
        <s v="85c907e5-eae9-4ae5-8682-7335efa57459"/>
        <s v="70e4f242-5557-4d3b-8471-dd202db5a3b7"/>
        <s v="3c82845a-e21e-41a0-979c-169d33c2fc80"/>
        <s v="71777708-738b-4a22-8924-677a5afe3d58"/>
        <s v="62518911-3e4e-49c6-9512-1bfc06323e10"/>
        <s v="5f6aa3d0-def8-4718-bd70-8b4b1aa7eed5"/>
        <s v="cff302b1-3087-4ca9-bbb2-ae97e574f2cd"/>
        <s v="ba36b15c-06cd-4d6e-9643-b0cfe62776ea"/>
        <s v="fd2a9cf1-c260-474a-bb91-1081a4ad46bd"/>
        <s v="23cf92b2-3035-46ac-af8d-fc4e14970d8b"/>
        <s v="6b8da0f4-ea1d-41c6-9a2c-43b02a799d36"/>
        <s v="91b14ab8-1c7a-449b-9db4-478f54442982"/>
        <s v="543768cb-d86a-4628-81cc-f2b1022ca354"/>
        <s v="9cd31713-6d99-4024-a213-95792bc7f88d"/>
        <s v="346ce9f0-89d8-48f1-acd1-ed4e8636f0ce"/>
        <s v="e01dce9a-2b7b-4d91-bd8b-8b37c23211fd"/>
        <s v="c6b86e5e-fd8f-43fc-b48e-afc11df5a541"/>
        <s v="bc60740d-e858-4f94-9566-1eef6497bdb8"/>
        <s v="cb593236-b3a6-4ed6-af6f-590bd4786b1d"/>
        <s v="4d1b7980-a305-408d-b097-e6e8096ebd45"/>
        <s v="03aa27dd-e059-4e85-8505-b961b5a45294"/>
        <s v="391bab10-2f7c-4a05-8810-20c41309d4f9"/>
        <s v="18bf3d1a-0cfd-4dd0-b243-96699d7c0148"/>
        <s v="71078ce7-dec7-4fa4-8933-4eca9aedb7f9"/>
        <s v="97a68b99-8cbc-4b28-bb0b-d4ed2c428ddc"/>
        <s v="663e9152-5f5c-4a5b-b9ef-5393b4b73a12"/>
        <s v="de2147f0-bc82-43b9-9e86-69c024ad0663"/>
        <s v="fdf4b68c-5590-4498-946b-8efbdc0a31bc"/>
        <s v="616fcc8c-56bc-4197-91cb-4b07d92c0fb1"/>
        <s v="00fd40bf-bf9d-4bff-993f-60f5eee6bb03"/>
        <s v="e6d0967c-f9d5-4e46-9f87-d564b671d413"/>
        <s v="b34a6f74-ae8f-47ad-924f-86556889d99d"/>
        <s v="2673fe87-e626-4a87-8ad7-3a10fa06f4c3"/>
        <s v="b2ade9ec-6a44-455e-9378-1cb83e5dd5a2"/>
        <s v="5f00cf03-ed87-484c-ba6c-eaa36f50bb7b"/>
        <s v="ccbaaeb4-e933-4e31-a0fa-d19de42b0aa6"/>
        <s v="b572bae1-9ed6-4f39-8bbc-059bafa3e368"/>
        <s v="eb06c345-27b2-43fe-8b57-74abfe097181"/>
        <s v="51989afa-bed1-4325-a13d-95fbac40d879"/>
        <s v="6b9795cc-f800-41e7-9c05-f0ac55d1061a"/>
        <s v="ddc5a8ef-f22d-4453-84cd-2c189b907453"/>
        <s v="1e819aad-5b5f-4e14-89a1-cfe9654b06b2"/>
        <s v="9b35ff7f-9cff-4443-b980-d80117014e88"/>
        <s v="e9365338-4cc1-4aed-b986-b49160163f0c"/>
        <s v="cbfa73b5-c97d-44c6-93c0-1aec270e805e"/>
        <s v="dc13cf47-0a1a-4aec-b1f4-81d7f5dc3816"/>
        <s v="80b3645d-74e2-4b56-9238-b906b291f579"/>
        <s v="488e03e5-d1b1-4069-958d-35616f0b201c"/>
        <s v="893027bb-1105-4eb6-83fb-211687351dc0"/>
        <s v="7c0b8276-4c0c-4323-a876-980051a56c15"/>
        <s v="3576e0a5-4bd8-4887-921b-e05ad460de03"/>
        <s v="2983f870-78b7-44b1-b120-75bb4d3e2411"/>
        <s v="609c294f-9192-4233-a3dd-df5fa7a26ec0"/>
        <s v="fb83ae2e-5fcb-4fbd-a252-2989f8f6d036"/>
        <s v="2044b866-4e8f-4e20-8b6f-dc20136edf14"/>
        <s v="ded29be0-13ca-445c-9df7-ed1134aa78c0"/>
        <s v="00f36763-b751-4839-a3c3-06e6ff283c20"/>
        <s v="64f9d004-e4bc-450d-85f7-65141003bd81"/>
        <s v="e0dab459-92a9-4cfa-a863-c17c4c2e79d2"/>
        <s v="1eecddea-2c95-41ee-8459-c0c59f8daf8e"/>
        <s v="5c1c9ae5-b0a4-42e3-8660-e1fdb1a7d6ae"/>
        <s v="de78ca4d-2ed2-44cd-a28f-a94e8ffd1722"/>
        <s v="c029cdf7-f81a-4da7-a31e-668415613c29"/>
        <s v="908aad90-85d9-47c4-bd58-9f4ea733d8fe"/>
        <s v="21c1fdd0-3a23-4942-bfa7-af092c88e295"/>
        <s v="f0cb015d-3171-453b-87ba-5557fbec4e39"/>
        <s v="1be9cf2d-8c81-442b-8fd0-c6507395db90"/>
        <s v="18bc22b5-59e0-45cd-84ed-d27c46df4a0a"/>
        <s v="e1013214-d963-4673-b04d-89b8cf0abd4f"/>
        <s v="a88964d9-7341-43b3-806e-e0533e1b41bc"/>
        <s v="e450aa83-9876-4480-ae03-b2982067eac5"/>
        <s v="105c1746-11cb-46a6-aa58-8f90b2a6a346"/>
        <s v="7bb92b24-a7c0-4b38-ad91-ee31b5edce8e"/>
        <s v="f7fb5b22-544f-4ced-8121-9d190905075f"/>
        <s v="161e1c61-7aee-44af-97d6-641bcf2a8970"/>
        <s v="f9a0a188-3a48-4cef-b2d8-d4b75fddea00"/>
        <s v="52be5da1-8c4d-4670-a08d-6b8be4ae7497"/>
        <s v="0f8f54ca-9fb9-4785-8647-2468a004fa45"/>
        <s v="fd1d3fde-3620-4c8f-b53c-4465a0cba4f6"/>
        <s v="4d3fa55a-5762-4e29-ae84-5a66cfed93bd"/>
        <s v="d51f9b46-f368-4a09-ab13-0c6a18f47dd5"/>
        <s v="543c5d3a-323f-45ef-b855-f2c77adfbea8"/>
        <s v="7fbe0ba5-acbe-412f-a196-c7cc139ca37a"/>
        <s v="04245ce4-504e-4b0e-be15-fe6c63669b23"/>
        <s v="31772850-4dc3-45a6-999d-39e5d903c7d4"/>
        <s v="53280ea1-dd41-4ed1-a9fd-e99721499e1f"/>
        <s v="d88899f6-ddce-4d44-87ff-c5048e5241a4"/>
        <s v="e3ac2b66-dc49-453f-8c82-8d0bc9c5549a"/>
        <s v="0e104293-9725-463a-bc09-87fb54940434"/>
        <s v="ab932225-5685-4051-84fe-8db07734d341"/>
        <s v="66703732-f532-444b-8d11-2c9a9a2263b2"/>
        <s v="86dc1157-e9fd-4e98-b293-cadc88641d75"/>
        <s v="fef795f4-082a-4129-81ea-8b6ec2132853"/>
        <s v="80d701ba-98a7-4f51-8f3d-0737355f185e"/>
        <s v="6b7f0cf2-9089-45ed-badc-de6c072bcbc9"/>
        <s v="8fa3c024-3a65-4814-9736-7a75349817f4"/>
        <s v="fde8bf83-3f38-4327-b632-ce0b7418dd05"/>
        <s v="dc920ff0-4476-4233-8a68-d1b76806e11c"/>
        <s v="02403cc4-f717-4702-a502-8ca1f809e7ed"/>
        <s v="ce1ee09b-53e7-433b-8565-78b87cc2a845"/>
        <s v="229a2356-98c0-4c9e-a853-4c8b1bb64a48"/>
        <s v="e3df7035-07a3-4750-937f-b203c023b0c9"/>
        <s v="2c09fcbb-ad28-476d-8970-1ce53adf5133"/>
        <s v="866fc4df-4f97-4dea-9576-0a0c5b3c3219"/>
        <s v="749658d6-ad8b-4977-9798-875258c7e917"/>
        <s v="1fd55cf2-fd94-4d94-9af8-3edfb4331750"/>
        <s v="dc665109-864f-479e-817b-1b24c049abe3"/>
        <s v="f0d6a2c6-b47b-4c4f-8704-ca522dc40164"/>
        <s v="a75c3412-f4c8-4590-978c-4a96dd26a8ab"/>
        <s v="4777f9b4-58d1-475a-90b0-145a70b15ac0"/>
        <s v="82bd9c31-9b2b-45a9-9919-fe6ba777f73f"/>
        <s v="04846856-a1c8-410e-a7e5-2906406e8941"/>
        <s v="07c96aad-61bf-4626-a9ae-0a34209494c7"/>
        <s v="d0d15529-e4f3-43a9-b304-54053e16aa01"/>
        <s v="24baa7b0-5391-46ab-94ca-b5583a41af18"/>
        <s v="d983e39e-6827-42f2-b347-d58adf3a80ac"/>
        <s v="d81a0385-2d54-4be8-9e57-1f87684e76bd"/>
        <s v="8ef8c848-20b8-4493-985c-24f2b925610c"/>
        <s v="9a2984ac-e042-447f-ac04-e78645b18881"/>
        <s v="83402b0a-4b08-4921-b79b-14d50a0be9c2"/>
        <s v="3758eba4-6ac8-417a-8063-60066c461d50"/>
        <s v="274f4733-1b44-40a1-91f5-090c42cd313a"/>
        <s v="3bf12f44-d2b7-4a9f-ba2e-a394943bd67d"/>
        <s v="e20739e0-7851-438b-9d11-83e648c78598"/>
        <s v="bab859d6-2e31-4ecb-b3c0-b1d06f0b6a59"/>
        <s v="d63db32e-5451-4226-846b-a0c0bce4885b"/>
        <s v="70c6689c-c901-4564-a001-fcc948b02ee9"/>
        <s v="a82d7285-ef5a-495a-8c64-6e5926405552"/>
        <s v="114778ff-a257-4de1-9b40-56e31cd83627"/>
        <s v="025fcb06-3964-4c6a-89f8-eac44e04116e"/>
        <s v="f2667ad3-06c6-4e44-aa86-3ae43c38838a"/>
        <s v="80a03d5e-643f-4808-b7b1-c4cae624906d"/>
        <s v="f6f2f9bf-f03f-433e-ab6e-d746131bf851"/>
        <s v="d7b4ca6f-776d-4e9a-bfb0-8eeb310841de"/>
        <s v="0979e55f-2627-4240-b1cb-1438376c5179"/>
        <s v="4b101ce1-b9b5-4a30-b259-9c116ce40cfe"/>
        <s v="ffeadd46-0ffa-4a8e-945f-7e44548c9dc9"/>
        <s v="9151f2c2-7655-411c-9fba-4133ff27b9eb"/>
        <s v="8d1c1aa5-6de3-487b-a94e-6b2e42444250"/>
        <s v="71695f06-5705-4689-bb51-16a89ccee2cc"/>
        <s v="ebec190b-6a64-4f0d-82d6-6ee71a4ab11d"/>
        <s v="b37a1d58-d951-4dd7-bee5-54879fc9a695"/>
        <s v="0072d9f5-5d55-4b21-bab4-7e9db5443b65"/>
        <s v="9f09da20-2fca-4436-9c05-7b04386594d9"/>
        <s v="ce934bd4-15e5-494d-aa5d-a43abd4f535e"/>
        <s v="34d56187-c08e-47ca-afda-4e8766de448f"/>
        <s v="d3df971f-ca42-4077-86c3-475c12965f7d"/>
        <s v="038466ef-252a-47ce-a87e-71662abc1637"/>
        <s v="7d8ada5d-130d-4918-b0b5-6d6ea8edabfa"/>
        <s v="cb0a5b22-ebde-4c29-a9d1-a7038192cfac"/>
        <s v="bbe5d2c6-4408-471b-aef7-9c81c034dd8a"/>
        <s v="0bc8b463-f65d-4856-9678-0e41337fa409"/>
        <s v="df7f7ea9-393c-4be3-a7da-184827e7c971"/>
        <s v="ca3944e0-0434-4e15-9853-3b4d8ff76c43"/>
        <s v="31c391b1-54ff-4b98-b7e1-d883dfb2e8f7"/>
        <s v="f8d360a4-92d3-482f-ac1e-db9b1e0c7ad6"/>
        <s v="8cdf7735-0f19-4d74-b907-b8634fcbef71"/>
        <s v="cd0005e8-48e0-443c-9e75-4d0a01235d95"/>
        <s v="18301c0d-a988-4a52-895c-c28e69e89c6f"/>
        <s v="b1a22d3e-dae5-4172-bb8e-234aa505726a"/>
        <s v="775fe6a2-57d3-43d2-ab9c-30ac3b2dfd90"/>
        <s v="a7d27da1-6997-450b-b9f2-2ec14730e4fb"/>
        <s v="6ff23ad4-3477-4f63-886d-92ae7a84daa9"/>
        <s v="b967b17a-9a8e-4699-9e68-66173240e765"/>
        <s v="ec72fa74-1baf-4b0f-8dd2-057e4caf2bb9"/>
        <s v="8d47240b-470c-4a5e-81e6-2881b806e112"/>
        <s v="de32ee5c-2963-4b68-9314-37c9510fee55"/>
        <s v="2e1b58e1-c7b1-4714-925e-0e2c4a339fd9"/>
        <s v="66a00d9e-7e1e-4b78-af0a-dd80b7ca6a98"/>
        <s v="64c9873a-351a-4b84-b3b6-d42643bb8437"/>
        <s v="1533567e-4d20-4132-b86f-0a37f949ebf9"/>
        <s v="fb2a2ce1-c11d-4710-81a4-1a8984b53b93"/>
        <s v="b9408151-3d66-4ea5-95fa-1f42eb764169"/>
        <s v="f4181a0c-7a83-49fd-8ddd-b24a02e1d276"/>
        <s v="877c8c90-7090-4c6b-a2d5-68a10b5e84e1"/>
        <s v="815e14eb-2098-46d6-bb0d-3339ed33578a"/>
        <s v="1128e494-1080-4a5e-828c-5aaf607929b5"/>
        <s v="aabb59f2-7170-4ec0-bfce-44f002b48f29"/>
        <s v="11d601f9-4b5f-488a-a640-674c9e151b0a"/>
        <s v="863d696a-f19f-4eb7-a47a-9e3f926b0fbf"/>
        <s v="7197feb1-0e7a-4187-93de-5e7697d34253"/>
        <s v="0d30f1d0-c566-4826-ad70-7f9f4d6e9881"/>
        <s v="d724fb28-9add-4067-9cff-97797130d7e3"/>
        <s v="9950064d-b87b-4f55-b0f9-02ee6066147c"/>
        <s v="ab0e7817-6bb8-4dd9-91c6-9f559f916637"/>
        <s v="82979aa8-fa0e-497d-b8cd-8b19d74190b3"/>
        <s v="7310682f-d84d-4c3c-a24d-29e40a60ee5a"/>
        <s v="ceef5660-bdb6-47d2-bfe7-407928ba0309"/>
        <s v="6c504093-65a3-4d67-bc20-0a7237e53eea"/>
        <s v="68324606-5422-43fe-a453-66e17793da37"/>
        <s v="ba67980f-f576-4933-b59a-36e560e42740"/>
        <s v="c4067a04-c825-416f-9eca-54f777499c5b"/>
        <s v="77323c98-1997-4c10-a66e-558050dc6213"/>
        <s v="285da30d-334e-46dd-a647-627a5d6d0c1f"/>
        <s v="85bd577f-a5ae-4860-b903-0a5576e75ce7"/>
        <s v="f70dbb59-c490-4182-903d-6c5793c03458"/>
        <s v="6296fb0b-0fea-451b-b564-784f265410a6"/>
        <s v="97c34e36-9e4a-49fb-8ba6-c4c6d79ea64d"/>
        <s v="301b73ed-a5ed-4932-9ff0-dd35b1a7457c"/>
        <s v="4b20ef1f-2692-43bf-ada8-d664d089f7fb"/>
        <s v="98bb8adc-733a-4d76-be0f-ab0411063ccc"/>
        <s v="894cfd1a-7b61-480c-ab28-bf77784a509e"/>
        <s v="04f69ce1-ead1-480f-b2c5-a99dc650d3b2"/>
        <s v="85346cb4-fe6c-4c0e-a87b-dfd18517969b"/>
        <s v="cd0b6f33-8ad2-4f2b-acbb-a762ea2ec9c0"/>
        <s v="4f59e7a5-8175-46dc-af06-b61cd22b3606"/>
        <s v="db684545-7495-414b-9919-1560cb2ea76c"/>
        <s v="dac8a6e8-0146-43e8-9a90-8e675f9fbaa8"/>
        <s v="964ede1d-1f81-4d58-86bd-4c328f060ca3"/>
        <s v="79320d21-8bc4-4e00-85e0-8ce4a4ab42b4"/>
        <s v="b9b81ddb-0c70-476f-be60-f67e451e0090"/>
        <s v="491fc7cd-9009-41e2-9f2c-c5aaff219d75"/>
        <s v="03fc22d3-0e5a-4c71-aacc-4b5588d20b7b"/>
        <s v="3e7a498c-9e3a-4b87-8680-5a5436021263"/>
        <s v="107bd4a3-9d8e-43ee-a0df-31b57b65eed2"/>
        <s v="28fa62df-63a8-4908-b601-bffd24303acf"/>
        <s v="edbfa1b1-f134-4e41-81c4-7740805dacd9"/>
        <s v="8cd074cb-60ce-4449-ba5d-7751a3b9d2b3"/>
        <s v="94558069-8581-4de5-8fcc-00e3e541e452"/>
        <s v="1b09dede-e649-402c-bde0-5bd7576d4ac5"/>
        <s v="97cc1ed6-4e33-46b4-9967-65b70079d233"/>
        <s v="ee9a24cd-a4e7-4264-9a1f-b39a49aafdd2"/>
        <s v="c40c55e5-d888-4870-a6e1-bd7b2dc577b4"/>
        <s v="fed18fd2-9154-45b9-976b-730767ebcd27"/>
        <s v="e8058d57-cc77-4809-8470-462eeb4c4014"/>
        <s v="f108d82f-7113-4b81-8232-01951f8e8d35"/>
        <s v="85f4e337-427e-4971-b55c-109b7de85a86"/>
        <s v="7d8c86d0-e566-4bff-a2ef-53a5eb2a8187"/>
        <s v="614c74f4-661b-409a-afd5-caf0c779a143"/>
        <s v="ce03b15d-cb11-430c-bbf4-84d3aa6a6355"/>
        <s v="42738895-c3c1-4b52-bb44-636b1d719097"/>
        <s v="c2132f8e-95c3-433d-9774-3ea3e32ccba4"/>
        <s v="8390a471-955f-4080-8301-aa1483fbccad"/>
        <s v="e1eb0ffd-9302-4b1b-8d09-498169aa46be"/>
        <s v="eb328eff-d2bd-42e2-bb7f-7b59c49e04dc"/>
        <s v="4dcc110d-2caf-4b29-8e4a-0537e0115862"/>
        <s v="78ae1381-a4de-44e2-bbfb-a0e0e753d570"/>
        <s v="5849f022-9ec3-413b-b772-7049df075710"/>
        <s v="eb1a8602-868d-4bd2-996a-8f4d8fbd9943"/>
        <s v="a1378b36-bfc8-4385-bfa3-012164ee41f1"/>
        <s v="f207c059-bf5c-4ce6-8b4b-ab7503bd003b"/>
        <s v="a415a509-2303-444d-9939-15847e20e63d"/>
        <s v="6aac1c96-7047-4d11-b27d-44944f72e6a8"/>
        <s v="af063ceb-893a-4311-86f3-091a59c7647f"/>
        <s v="a905b04c-04aa-4fad-9365-6c56d92f356e"/>
        <s v="ab07f7cf-1b90-4c14-9cbd-f87d2401eb10"/>
        <s v="f17acc22-46dd-4a03-a09e-66797fc864f2"/>
        <s v="a59c225b-8bc7-49c5-819b-5f2cd76d52a6"/>
        <s v="0ea3bd1b-a9f6-4ccd-a8e1-90b6a0cbabf8"/>
        <s v="7ac9c83a-885d-4904-8023-0c6ff75cfc85"/>
        <s v="c6a6588e-3486-401f-8261-2cfedcf17d9b"/>
        <s v="3a02fb56-d851-4da2-a7a2-e7bf539b47c1"/>
        <s v="79dd9b16-3d1e-4196-98e8-42740ba73378"/>
        <s v="319c565a-17ab-4abe-ae39-658ff82398e6"/>
        <s v="8726924e-e736-4152-a600-93f25a82297a"/>
        <s v="45628100-f3f1-4308-a159-4cf27ef61300"/>
        <s v="b8269c51-66e6-41bd-981c-bd21dc71dc12"/>
        <s v="910546a5-cc88-4186-8343-ce556acd4197"/>
        <s v="51161d93-6376-4992-8862-8a8f73274de8"/>
        <s v="97268ff9-634c-4609-9b5a-ce1b575d09bf"/>
        <s v="c9d0af20-d50b-46a5-b8b1-9f5a32fa9092"/>
        <s v="a99bd63e-5258-48d7-9ac8-0c5f02481d68"/>
        <s v="0f6a1ea5-9afb-4345-b77d-e7591335d270"/>
        <s v="26ca49c6-d6d4-43b5-99b0-93d06755c7fa"/>
        <s v="2c90d6f2-00fb-4e2f-b3ff-5eafcd96f7e9"/>
        <s v="1a0b103c-7fbf-4d11-8779-c4ed13986aa4"/>
        <s v="a3f93225-85c6-4a01-b210-ef59d3c352fc"/>
        <s v="1d92b0c3-2ddc-4ae9-8dd8-8650c3a6239d"/>
        <s v="5217e86d-17f3-4b6d-b430-f4d08a939a4f"/>
        <s v="28f163ec-8016-46b3-bbdb-fd5093ce0ee5"/>
        <s v="69df0caf-ba2a-4b78-8d72-b6a117af3bd9"/>
        <s v="20712dae-f3a4-40e9-a123-c5ee6b9c4ac0"/>
        <s v="780dd334-a9fb-4398-9a4e-690436194f52"/>
        <s v="6247563c-a13f-4f8e-b730-72c07aff5309"/>
        <s v="4d1cf2c4-ed9a-4802-9646-e8050cf3b564"/>
        <s v="503bb24c-12e6-4a4a-b630-45254f982fac"/>
        <s v="7b2b0a33-f86e-48d5-b26f-badeb1272990"/>
        <s v="8d316704-a9d8-4707-aeb6-57eae4ef9bea"/>
        <s v="f9aee4b5-e22d-4fdc-b409-a10666068039"/>
        <s v="827bc546-1bd0-4e69-9d28-a02c8d851be8"/>
        <s v="36c7f2ab-9aea-4a1e-a1d3-7088ea4dd258"/>
        <s v="b565a4f8-0c8a-496e-8ea7-7f46d05e65d0"/>
        <s v="eeadc24e-4a5b-4d24-8202-a8a9a53cb2fb"/>
        <s v="71d75907-80c9-41f5-b842-003289bebe2e"/>
        <s v="41158a38-4f6f-4e62-8c37-7c7dcc2098ae"/>
        <s v="53c5db3a-442b-4188-bd5b-6030ee5a95ce"/>
        <s v="d04c0b0a-5b7e-448b-a152-29d410b94690"/>
        <s v="1ed4f179-4e70-4632-a1d7-13b013cae6b1"/>
        <s v="412dc2b3-0f2d-4d77-aa74-fcc63a02fc36"/>
        <s v="593947ec-7bdb-40f1-b950-3389b6552447"/>
        <s v="7ca06469-566e-46a0-a598-1e0ef3d4a0aa"/>
        <s v="bd06b020-2645-4ba7-b80d-47cc5dbe036a"/>
        <s v="ddb55507-6ba0-4431-9e64-d57118df6bd9"/>
        <s v="2b87a63e-fbe7-476c-8276-bd0a8c64d5e7"/>
        <s v="6cd4641a-f32d-45db-8c1e-e4b90449a466"/>
        <s v="276bd213-49b5-4e12-8bdf-bd342c08e899"/>
        <s v="9b510770-74b4-4885-83e8-bd821ab5c3a8"/>
        <s v="f94c66f0-af7b-4f7e-b93e-e9774378ec62"/>
        <s v="c20d3c5d-cfc9-4d09-baac-a0943e64869e"/>
        <s v="bd8153b3-3d34-4e8f-9f6c-c4a5983f86b3"/>
        <s v="b00a0588-9356-4146-b0d4-3d5617095547"/>
        <s v="7c383cbd-c9c4-4d7e-aec7-4807133a3e27"/>
        <s v="5a8f4c85-e619-4345-8349-71c834b95d95"/>
        <s v="fb791d9f-1a8f-4384-a493-f4ef64fb1a21"/>
        <s v="689659c1-3a5e-4746-b126-ac07f00ae348"/>
        <s v="15e3d308-d5ba-4b15-a68f-f9d8cae7cc73"/>
        <s v="84f22dec-64f7-4cda-ade6-b84c9568bf4f"/>
        <s v="6339dcb1-7a32-4533-a6cd-fa735888be18"/>
        <s v="009adf0e-3dc7-49ce-b577-e47d4fbe00ef"/>
        <s v="2e9baff1-8514-4428-ac60-c36c39659c21"/>
        <s v="0d221bd7-083d-451b-9e03-29d4ffa471c1"/>
        <s v="31dd6dfc-8f46-4685-acf9-68d8da1d192a"/>
        <s v="9191a41e-7bd2-439a-99d9-2512d4f6a1af"/>
        <s v="bafd4013-37e5-42b5-8a28-051ed837e6ae"/>
        <s v="2d70f9ea-3f64-4e90-a17b-60131f8e5dd9"/>
        <s v="45e015e9-529a-4dbc-aa22-bd884f862cfb"/>
        <s v="a9cab964-9c21-4222-a97b-b819189760c8"/>
        <s v="cd8b163a-76af-4fd5-b4db-7ee8c10f2740"/>
        <s v="22ef1a08-9c7d-4e83-8285-1ed7d239427d"/>
        <s v="fd826b0b-4f6b-4196-84fb-35e01ade296e"/>
        <s v="b842ae50-92ae-4023-bfd9-e63d7e2929f5"/>
        <s v="c5b0d5c9-86df-49f6-bc07-f803d251b237"/>
        <s v="fa69c03c-9edd-4473-8121-27f573f16d78"/>
        <s v="67de4bfc-4c7f-499e-9a31-4e8237466412"/>
        <s v="df53fecd-e53d-4605-98a4-4d72ac476231"/>
        <s v="b3834752-78e5-4a8d-80a4-5004976b843d"/>
        <s v="4479e679-a33e-4d38-9d8c-ee4bef857888"/>
        <s v="82d27e6c-ca21-4345-ad95-1c2d1d8cc2b8"/>
        <s v="6b11103c-2794-42e9-a431-b9d2a5bc2f58"/>
        <s v="0670a0af-3684-45b5-944c-a1240ad93777"/>
        <s v="db8a8b09-2360-4782-ad32-0bccb0c3849a"/>
        <s v="46887369-ea19-4d02-9272-c1079149f484"/>
        <s v="008941c4-8a49-4825-83dd-0454dd44f0eb"/>
        <s v="a49f7c15-53ca-40fa-a6d4-fd6ec24ac5a4"/>
        <s v="c64fc8d9-5ddb-4bfb-9893-3df6ffba70ff"/>
        <s v="2b38f268-060f-4ee7-aaed-715627975c3c"/>
        <s v="d01f2f12-3fbf-4df7-be53-ecfd417f9f81"/>
        <s v="d8661fb5-0a6d-4308-ba8b-3206239f7053"/>
        <s v="f0854809-469d-4aa2-8877-57ce3be1ae32"/>
        <s v="4b910742-e1a3-445b-a49c-c35dbc224f18"/>
        <s v="18e83ed5-fb9f-47d6-8d6f-e21a5f10c760"/>
        <s v="c0f7f61f-19f4-424c-8e8b-abc5cf179dee"/>
        <s v="5c87a320-c89c-4674-8502-f6511e18df66"/>
        <s v="ac69a0e2-05d0-4c12-986a-f858525e8ea5"/>
        <s v="d45f6bc3-afa4-4393-aec4-14d5861812f6"/>
        <s v="3dc46824-4258-4f52-9f0d-83fc957e1dac"/>
        <s v="41e87e1b-efd7-416a-80e8-0ad3fd1b51b5"/>
        <s v="ecc98c30-bce3-4ea5-9468-d5079d20c6ab"/>
        <s v="921d94f9-6659-46af-8cf0-a625f5832354"/>
        <s v="0a9ba1d9-8997-4fd8-b708-3e212e9d1bf8"/>
        <s v="da04b4a4-bd1a-47fc-a0c3-e49f80474726"/>
        <s v="58ba2c7d-a5c8-4c65-92cf-502984a4d920"/>
        <s v="43ab919b-075d-468c-9289-c249ab26e303"/>
        <s v="71fe5e20-3b03-4d71-a19c-7b01e72b2060"/>
        <s v="c01df7b7-8d57-49be-a6c3-da9ec76c57b9"/>
        <s v="45b01479-6eff-4cee-a2f9-696058ad7009"/>
        <s v="ffa190dc-c994-4c45-a1eb-cb209b2ebbb1"/>
        <s v="ba8cc2a0-72f9-4af0-a25c-10dc5fb46723"/>
        <s v="07cb6eb5-2458-481f-a7aa-f9a008ee50fd"/>
        <s v="83d5d145-91fd-4284-85fb-df20b2bd9cda"/>
        <s v="82a3acd6-51f2-4f4f-afba-7466d0e26900"/>
        <s v="6c097541-7505-4d8e-af7c-e03109afddaa"/>
        <s v="b4a94ddf-a56e-40d7-9e50-dacb94568608"/>
        <s v="9f850170-6285-4c62-8ae0-bf705d906b8c"/>
        <s v="e5f5ef5d-f9d7-4c25-b368-522839d0d5a6"/>
        <s v="c68b06d9-e5db-4c81-b415-199c0ce1e958"/>
        <s v="1beec98a-5e6d-41bd-90ce-bff81349e433"/>
        <s v="2f938a4a-693c-48b0-82e4-cae33ae1b44f"/>
        <s v="f824ccb4-9a6a-4f97-9580-1034366e2254"/>
        <s v="92f91276-98fd-4323-9cc3-afc6807a3ebd"/>
        <s v="7d162873-fca8-4ed0-9f5c-e105f362e46a"/>
        <s v="5aa1aec2-a038-4355-83f0-766de52a326e"/>
        <s v="d35f18d6-9da9-4d7f-ac7e-5ec8d4a166b0"/>
        <s v="5c7282bd-5c83-47cb-b193-af980aef3d40"/>
        <s v="299447f2-980a-4320-87c1-ab9507c9a31b"/>
        <s v="ca2ee6e5-d177-4a9b-b721-0f121c1465e3"/>
        <s v="a12a3df2-5748-41ab-900b-21406907274b"/>
        <s v="ba5a48d2-0a03-4ce2-abfe-2bb9430b4091"/>
        <s v="275c623b-a695-4b65-9a15-9bd3840423af"/>
        <s v="c3e92ea6-7f4d-4809-9b6b-484eb4becf16"/>
        <s v="efb38392-57e0-4184-993e-c125541e0ec1"/>
        <s v="9d35eeff-099b-46b0-bc79-ab84a4d619a1"/>
        <s v="92f1d852-4efa-4885-aaf6-807bcd973ff3"/>
        <s v="0451a136-3810-4056-b1b4-c2231fd8d1bf"/>
        <s v="6bbd4eef-0271-42d5-ae26-5876c703d8a7"/>
        <s v="9e2ffa47-be09-480b-8f00-e296267559c2"/>
        <s v="44640ef4-7388-473f-a132-c5cf461a1083"/>
        <s v="30b2b1bc-53e4-4de2-ac35-e90bd0f8a513"/>
        <s v="4a508b4e-5255-4703-aa67-84374ea274fe"/>
        <s v="21daae4d-64ee-43d4-8ebe-e1176c58d50c"/>
        <s v="7dfbe37a-bdb3-4296-a581-83ac2f6e0c7f"/>
        <s v="dafddca5-a61e-46bd-a833-5319fb782d14"/>
        <s v="4d8c6406-8f65-46e9-9e65-5ac10a362dda"/>
        <s v="324c1fbc-8279-41eb-86c1-c52a62f0e37f"/>
        <s v="962ec764-d6a1-4c61-bb31-b4f8886fc725"/>
        <s v="b68cce68-c2f3-47bf-b690-6ac34f32d961"/>
        <s v="a7655a63-d6d3-4da8-afe9-3dc5dd2f31fd"/>
        <s v="1a4c4034-6388-40d0-b167-546b517312b8"/>
        <s v="614c50b6-92ab-4a04-a782-8c4d424b0269"/>
        <s v="a58f0802-524f-4a3f-ac24-b6a9e20dc3d2"/>
        <s v="5810674f-451a-499e-ad42-c7f1a001e9f1"/>
        <s v="a334f6ff-bf50-427b-843b-c8438970f3de"/>
        <s v="278f287f-bd53-467d-b15e-664b651afb6b"/>
        <s v="dd6b57d8-c749-4cf0-844a-97e9621c3065"/>
        <s v="822cfe1d-8c4e-4e82-9ca4-a4fa7a114b8b"/>
        <s v="803f1543-4af1-46b4-87c9-c259bc66a2b4"/>
        <s v="28edf12c-70c0-4170-8a96-1ac84fc06802"/>
        <s v="be8cba25-6b12-4f09-9d92-4b19f51fb456"/>
        <s v="3cee997a-53a8-4b6a-9615-9ad3b54a9bd1"/>
        <s v="f9a510c1-b499-4c30-8a72-14a4ce464b75"/>
        <s v="f7f95628-7c4b-43cf-9d5e-7e7953b824ae"/>
        <s v="1b8301b2-7274-406a-8194-791d8161de7a"/>
        <s v="c08c6094-ae34-4278-90fb-db662f456223"/>
        <s v="c2a3120c-c1d5-4bad-a056-afc547404e11"/>
        <s v="96b75d8a-2708-4526-a962-c87d5b739009"/>
        <s v="fd5222a7-1493-463d-bf80-88e383187034"/>
        <s v="b684b3bd-57d3-4e8a-87a2-241e524ca14d"/>
        <s v="11e72490-3699-434a-bb21-38b0a3320051"/>
        <s v="6aacfcd4-c667-4557-87e5-8fcbf54322b5"/>
        <s v="2204036d-6739-42de-bdeb-4b9459aeef44"/>
        <s v="2573febb-0a69-42fb-96f7-f33d0bc33238"/>
        <s v="776fc75a-cbb9-4415-903e-2275e1ec2e11"/>
        <s v="5d633d05-bbd6-483e-9ab2-d85323cbd9f5"/>
        <s v="5c9515b7-88be-4163-91ed-0b7522fe5cbe"/>
        <s v="9e976906-2364-4658-a3db-4aa509549217"/>
        <s v="5d3fca97-da26-4ce7-a2ac-303bb77b62a6"/>
        <s v="c617e071-9666-42b1-9ff2-1d13e7eadffc"/>
        <s v="b8034076-889f-40d0-89bb-bd0ff50badd4"/>
        <s v="8d82e0ff-d498-41f5-abc8-d0d51a90acaa"/>
        <s v="05a098d9-d5a6-4e18-a943-93cdceb70263"/>
        <s v="4eeb1037-a7dd-435e-beb4-fae724bd1d5b"/>
        <s v="7bf7ebb0-3e5a-48c4-a756-177f2b07de97"/>
        <s v="cea65048-a10c-450b-972e-ea0a14ce51b1"/>
        <s v="5339e31f-09e6-4e7f-8ab3-078df30e1ff7"/>
        <s v="5b5896b2-9985-49a2-893d-5e4f9f7e5b6c"/>
        <s v="85e31ce3-4e7f-4658-8ebc-d7526a417289"/>
        <s v="72a7fb77-95af-4050-9c7a-b64e0b631f39"/>
        <s v="7bde290d-4d03-4d38-bb02-5f405e687da4"/>
        <s v="4850650e-6338-41a7-8bf3-44412affd0ed"/>
        <s v="0f221632-1b39-4bc1-920f-d7a8b0a0f123"/>
        <s v="5ad8161e-0e01-4e89-9f7f-51d5ae5badea"/>
        <s v="57cd1a24-61ec-4d05-917c-a047cc78fbae"/>
        <s v="d9060ba1-b2b9-482a-a7ab-21da16486b2e"/>
        <s v="cf252f01-63e8-49af-83fe-fe1525ddbb8e"/>
        <s v="90692010-3651-4733-a049-dec982fe35c2"/>
        <s v="5dbe7d28-0511-42a3-b079-b2996c8e992a"/>
        <s v="9e7936d0-467e-4708-8f15-8abd882678c3"/>
        <s v="aa0a8cf8-db4c-4471-8792-3548bb109781"/>
        <s v="880e121c-4b2a-434a-85b6-e6c9807790bc"/>
        <s v="a95c41fe-d268-4188-87d2-1179339422ab"/>
        <s v="a3320f63-8cba-4550-85b7-2aeaa7d2e0c2"/>
        <s v="585d740c-f99b-4c08-a18d-17a2d80fa0aa"/>
        <s v="50d15734-32f1-40cc-b86c-5b07dd415c11"/>
        <s v="928c9882-695f-4333-80f2-9ef069f30ba6"/>
        <s v="0c90ce32-bc89-437b-8a06-575ecca1a9f8"/>
        <s v="1754dc94-573b-4cfe-aa4f-8016a39caaa4"/>
        <s v="e514cd44-0315-4c8b-8e8d-185f2fdf4980"/>
        <s v="445a9325-68cc-4fc4-8d4f-f2bd31767d12"/>
        <s v="ed2aac8e-bdab-4a38-842b-0039618f205a"/>
        <s v="506c992d-ee39-408b-a0c0-edd1e9bc4e48"/>
        <s v="2085a2e0-3f14-4c83-8faf-381a5570a035"/>
        <s v="b8ca5912-ff6e-496b-972a-7c7f8e0d5062"/>
        <s v="9893579d-fba5-43fb-85b2-b1189d6bf32a"/>
        <s v="4c2c17fb-57cc-478b-9195-74975d4a9583"/>
        <s v="d693559f-22c7-4d70-b7d7-1a57dc0eca8e"/>
      </sharedItems>
    </cacheField>
    <cacheField name="Customer ID" numFmtId="0">
      <sharedItems containsSemiMixedTypes="0" containsString="0" containsNumber="1" containsInteger="1" minValue="100803" maxValue="999369"/>
    </cacheField>
    <cacheField name="Customer Name" numFmtId="0">
      <sharedItems/>
    </cacheField>
    <cacheField name="Account Number" numFmtId="0">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ount="25">
        <s v="Indore"/>
        <s v="Guwahati"/>
        <s v="Ahmedabad"/>
        <s v="Pune"/>
        <s v="Bhopal"/>
        <s v="Raipur"/>
        <s v="Surat"/>
        <s v="Amritsar"/>
        <s v="Nagpur"/>
        <s v="Patna"/>
        <s v="Lucknow"/>
        <s v="Jabalpur"/>
        <s v="Coimbatore"/>
        <s v="Kochi"/>
        <s v="Chennai"/>
        <s v="Hyderabad"/>
        <s v="Mumbai"/>
        <s v="Chandigarh"/>
        <s v="Kolkata"/>
        <s v="Gwalior"/>
        <s v="Bangalore"/>
        <s v="Jaipur"/>
        <s v="Delhi"/>
        <s v="Bhubaneswar"/>
        <s v="Ranchi"/>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ount="4">
        <s v="Fixed Deposit"/>
        <s v="Recurring Deposit"/>
        <s v="Current"/>
        <s v="Savings"/>
      </sharedItems>
    </cacheField>
    <cacheField name="Transaction Type" numFmtId="0">
      <sharedItems count="4">
        <s v="Cheque"/>
        <s v="Withdrawal"/>
        <s v="Deposit"/>
        <s v="Online Transfer"/>
      </sharedItems>
    </cacheField>
    <cacheField name="Transaction Amount" numFmtId="0">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64">
      <sharedItems containsSemiMixedTypes="0" containsNonDate="0" containsDate="1" containsString="0" minDate="2023-07-11T00:00:00" maxDate="2025-07-07T00:00:00"/>
    </cacheField>
    <cacheField name="Transaction Status" numFmtId="0">
      <sharedItems count="4">
        <s v="Completed"/>
        <s v="Pending"/>
        <s v="Failed"/>
        <s v="Reversed"/>
      </sharedItems>
    </cacheField>
    <cacheField name="Balance After Txn" numFmtId="0">
      <sharedItems containsSemiMixedTypes="0" containsString="0" containsNumber="1" minValue="5539.5400000000081" maxValue="2345208.34"/>
    </cacheField>
    <cacheField name="Is Fraud" numFmtId="0">
      <sharedItems/>
    </cacheField>
    <cacheField name="year_month" numFmtId="0">
      <sharedItems count="25">
        <s v="2025-04"/>
        <s v="2023-10"/>
        <s v="2024-03"/>
        <s v="2024-12"/>
        <s v="2024-08"/>
        <s v="2024-06"/>
        <s v="2024-10"/>
        <s v="2024-05"/>
        <s v="2023-12"/>
        <s v="2023-07"/>
        <s v="2024-07"/>
        <s v="2023-11"/>
        <s v="2025-06"/>
        <s v="2023-08"/>
        <s v="2024-04"/>
        <s v="2024-02"/>
        <s v="2024-11"/>
        <s v="2025-02"/>
        <s v="2025-03"/>
        <s v="2025-05"/>
        <s v="2024-09"/>
        <s v="2023-09"/>
        <s v="2025-01"/>
        <s v="2024-01"/>
        <s v="2025-07"/>
      </sharedItems>
      <fieldGroup par="20"/>
    </cacheField>
    <cacheField name="Net Change" numFmtId="0">
      <sharedItems containsSemiMixedTypes="0" containsString="0" containsNumber="1" minValue="-145964.88" maxValue="596395.99"/>
    </cacheField>
    <cacheField name="Fraud Flag" numFmtId="0">
      <sharedItems containsSemiMixedTypes="0" containsString="0" containsNumber="1" containsInteger="1" minValue="0" maxValue="1"/>
    </cacheField>
    <cacheField name="Transaction Category" numFmtId="0">
      <sharedItems count="2">
        <s v="Digital"/>
        <s v="Cash-Based"/>
      </sharedItems>
    </cacheField>
    <cacheField name="Customer Type" numFmtId="0">
      <sharedItems/>
    </cacheField>
    <cacheField name="year_month2" numFmtId="0" databaseField="0">
      <fieldGroup base="15">
        <discretePr count="25">
          <x v="2"/>
          <x v="0"/>
          <x v="1"/>
          <x v="1"/>
          <x v="1"/>
          <x v="1"/>
          <x v="1"/>
          <x v="1"/>
          <x v="0"/>
          <x v="0"/>
          <x v="1"/>
          <x v="0"/>
          <x v="2"/>
          <x v="0"/>
          <x v="1"/>
          <x v="1"/>
          <x v="1"/>
          <x v="2"/>
          <x v="2"/>
          <x v="2"/>
          <x v="1"/>
          <x v="0"/>
          <x v="2"/>
          <x v="1"/>
          <x v="2"/>
        </discretePr>
        <groupItems count="3">
          <s v="Group1"/>
          <s v="Group2"/>
          <s v="Group3"/>
        </groupItems>
      </fieldGroup>
    </cacheField>
  </cacheFields>
  <extLst>
    <ext xmlns:x14="http://schemas.microsoft.com/office/spreadsheetml/2009/9/main" uri="{725AE2AE-9491-48be-B2B4-4EB974FC3084}">
      <x14:pivotCacheDefinition pivotCacheId="1465973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989374"/>
    <s v="Indali Dhingra"/>
    <n v="748642976223"/>
    <x v="0"/>
    <x v="0"/>
    <x v="0"/>
    <x v="0"/>
    <x v="0"/>
    <n v="489850.94"/>
    <x v="0"/>
    <d v="2025-04-09T00:00:00"/>
    <x v="0"/>
    <n v="2330149"/>
    <s v="No"/>
    <x v="0"/>
    <n v="489850.94"/>
    <n v="0"/>
    <x v="0"/>
    <s v="One-Time User"/>
  </r>
  <r>
    <x v="1"/>
    <n v="945035"/>
    <s v="Siya Kala"/>
    <n v="163745963749"/>
    <x v="1"/>
    <x v="1"/>
    <x v="1"/>
    <x v="1"/>
    <x v="0"/>
    <n v="427397.73"/>
    <x v="1"/>
    <d v="2023-10-29T00:00:00"/>
    <x v="0"/>
    <n v="1668521.67"/>
    <s v="No"/>
    <x v="1"/>
    <n v="427397.73"/>
    <n v="0"/>
    <x v="1"/>
    <s v="One-Time User"/>
  </r>
  <r>
    <x v="2"/>
    <n v="934360"/>
    <s v="Tejas Rajan"/>
    <n v="193406494234"/>
    <x v="2"/>
    <x v="2"/>
    <x v="2"/>
    <x v="0"/>
    <x v="1"/>
    <n v="110664.95"/>
    <x v="2"/>
    <d v="2024-03-22T00:00:00"/>
    <x v="0"/>
    <n v="853196.4800000001"/>
    <s v="No"/>
    <x v="2"/>
    <n v="-110664.95"/>
    <n v="0"/>
    <x v="1"/>
    <s v="One-Time User"/>
  </r>
  <r>
    <x v="3"/>
    <n v="570696"/>
    <s v="Charita Oza"/>
    <n v="170817762643"/>
    <x v="2"/>
    <x v="3"/>
    <x v="3"/>
    <x v="1"/>
    <x v="0"/>
    <n v="121505.31"/>
    <x v="0"/>
    <d v="2024-12-20T00:00:00"/>
    <x v="0"/>
    <n v="926115.91999999993"/>
    <s v="No"/>
    <x v="3"/>
    <n v="121505.31"/>
    <n v="0"/>
    <x v="0"/>
    <s v="One-Time User"/>
  </r>
  <r>
    <x v="4"/>
    <n v="975319"/>
    <s v="Daksh Thaman"/>
    <n v="319075165406"/>
    <x v="0"/>
    <x v="4"/>
    <x v="4"/>
    <x v="0"/>
    <x v="2"/>
    <n v="11528.19"/>
    <x v="3"/>
    <d v="2024-08-02T00:00:00"/>
    <x v="1"/>
    <n v="534430.57999999996"/>
    <s v="No"/>
    <x v="4"/>
    <n v="11528.19"/>
    <n v="0"/>
    <x v="1"/>
    <s v="One-Time User"/>
  </r>
  <r>
    <x v="5"/>
    <n v="895736"/>
    <s v="Zarna Mammen"/>
    <n v="253605159009"/>
    <x v="0"/>
    <x v="4"/>
    <x v="4"/>
    <x v="1"/>
    <x v="3"/>
    <n v="458663.48"/>
    <x v="3"/>
    <d v="2024-06-10T00:00:00"/>
    <x v="0"/>
    <n v="2011952.25"/>
    <s v="No"/>
    <x v="5"/>
    <n v="458663.48"/>
    <n v="0"/>
    <x v="1"/>
    <s v="One-Time User"/>
  </r>
  <r>
    <x v="6"/>
    <n v="390841"/>
    <s v="Ranveer Wable"/>
    <n v="945930618441"/>
    <x v="0"/>
    <x v="5"/>
    <x v="5"/>
    <x v="0"/>
    <x v="3"/>
    <n v="294460.92"/>
    <x v="2"/>
    <d v="2024-10-12T00:00:00"/>
    <x v="0"/>
    <n v="1713155.09"/>
    <s v="No"/>
    <x v="6"/>
    <n v="294460.92"/>
    <n v="0"/>
    <x v="1"/>
    <s v="One-Time User"/>
  </r>
  <r>
    <x v="7"/>
    <n v="538077"/>
    <s v="Janya Oommen"/>
    <n v="960946735259"/>
    <x v="2"/>
    <x v="6"/>
    <x v="6"/>
    <x v="1"/>
    <x v="0"/>
    <n v="70209.02"/>
    <x v="3"/>
    <d v="2024-05-24T00:00:00"/>
    <x v="0"/>
    <n v="1053966.8899999999"/>
    <s v="No"/>
    <x v="7"/>
    <n v="70209.02"/>
    <n v="0"/>
    <x v="1"/>
    <s v="One-Time User"/>
  </r>
  <r>
    <x v="8"/>
    <n v="536413"/>
    <s v="Pranav Sarraf"/>
    <n v="920065850736"/>
    <x v="3"/>
    <x v="7"/>
    <x v="7"/>
    <x v="2"/>
    <x v="0"/>
    <n v="305297.37"/>
    <x v="1"/>
    <d v="2024-08-27T00:00:00"/>
    <x v="0"/>
    <n v="2242547.87"/>
    <s v="No"/>
    <x v="4"/>
    <n v="305297.37"/>
    <n v="0"/>
    <x v="1"/>
    <s v="One-Time User"/>
  </r>
  <r>
    <x v="9"/>
    <n v="706008"/>
    <s v="Arunima Andra"/>
    <n v="246399826650"/>
    <x v="0"/>
    <x v="5"/>
    <x v="5"/>
    <x v="3"/>
    <x v="2"/>
    <n v="79976.37"/>
    <x v="1"/>
    <d v="2023-12-13T00:00:00"/>
    <x v="0"/>
    <n v="1766313.5"/>
    <s v="No"/>
    <x v="8"/>
    <n v="79976.37"/>
    <n v="0"/>
    <x v="1"/>
    <s v="One-Time User"/>
  </r>
  <r>
    <x v="10"/>
    <n v="615941"/>
    <s v="Anusha Parmar"/>
    <n v="269059820502"/>
    <x v="2"/>
    <x v="8"/>
    <x v="8"/>
    <x v="2"/>
    <x v="0"/>
    <n v="426427.56"/>
    <x v="3"/>
    <d v="2023-07-14T00:00:00"/>
    <x v="0"/>
    <n v="836675.46"/>
    <s v="No"/>
    <x v="9"/>
    <n v="426427.56"/>
    <n v="0"/>
    <x v="1"/>
    <s v="One-Time User"/>
  </r>
  <r>
    <x v="11"/>
    <n v="565614"/>
    <s v="Utkarsh Narain"/>
    <n v="682739590821"/>
    <x v="2"/>
    <x v="2"/>
    <x v="2"/>
    <x v="0"/>
    <x v="0"/>
    <n v="484637.66"/>
    <x v="2"/>
    <d v="2024-07-12T00:00:00"/>
    <x v="1"/>
    <n v="1552234.03"/>
    <s v="No"/>
    <x v="10"/>
    <n v="484637.66"/>
    <n v="0"/>
    <x v="1"/>
    <s v="One-Time User"/>
  </r>
  <r>
    <x v="12"/>
    <n v="161024"/>
    <s v="Vanya Patla"/>
    <n v="257920784326"/>
    <x v="1"/>
    <x v="9"/>
    <x v="9"/>
    <x v="1"/>
    <x v="0"/>
    <n v="578105.66"/>
    <x v="1"/>
    <d v="2023-11-13T00:00:00"/>
    <x v="0"/>
    <n v="2235418.34"/>
    <s v="No"/>
    <x v="11"/>
    <n v="578105.66"/>
    <n v="0"/>
    <x v="1"/>
    <s v="One-Time User"/>
  </r>
  <r>
    <x v="13"/>
    <n v="915727"/>
    <s v="Ayush Bala"/>
    <n v="866173303309"/>
    <x v="3"/>
    <x v="10"/>
    <x v="10"/>
    <x v="3"/>
    <x v="2"/>
    <n v="285270.90000000002"/>
    <x v="0"/>
    <d v="2025-06-29T00:00:00"/>
    <x v="0"/>
    <n v="900185.58000000007"/>
    <s v="No"/>
    <x v="12"/>
    <n v="285270.90000000002"/>
    <n v="0"/>
    <x v="0"/>
    <s v="One-Time User"/>
  </r>
  <r>
    <x v="14"/>
    <n v="330649"/>
    <s v="Nikita Kaur"/>
    <n v="725385591832"/>
    <x v="0"/>
    <x v="11"/>
    <x v="11"/>
    <x v="2"/>
    <x v="0"/>
    <n v="419114.61"/>
    <x v="1"/>
    <d v="2023-08-20T00:00:00"/>
    <x v="0"/>
    <n v="2296120.29"/>
    <s v="No"/>
    <x v="13"/>
    <n v="419114.61"/>
    <n v="0"/>
    <x v="1"/>
    <s v="One-Time User"/>
  </r>
  <r>
    <x v="15"/>
    <n v="128757"/>
    <s v="Bhanumati Balakrishnan"/>
    <n v="129825978524"/>
    <x v="4"/>
    <x v="12"/>
    <x v="12"/>
    <x v="0"/>
    <x v="2"/>
    <n v="179240.17"/>
    <x v="3"/>
    <d v="2024-04-12T00:00:00"/>
    <x v="0"/>
    <n v="1836585.45"/>
    <s v="No"/>
    <x v="14"/>
    <n v="179240.17"/>
    <n v="0"/>
    <x v="1"/>
    <s v="One-Time User"/>
  </r>
  <r>
    <x v="16"/>
    <n v="565942"/>
    <s v="Anthony Dave"/>
    <n v="154877991245"/>
    <x v="2"/>
    <x v="3"/>
    <x v="3"/>
    <x v="1"/>
    <x v="3"/>
    <n v="391121.9"/>
    <x v="3"/>
    <d v="2024-02-06T00:00:00"/>
    <x v="0"/>
    <n v="2037513.89"/>
    <s v="No"/>
    <x v="15"/>
    <n v="391121.9"/>
    <n v="0"/>
    <x v="1"/>
    <s v="One-Time User"/>
  </r>
  <r>
    <x v="17"/>
    <n v="367162"/>
    <s v="Tanveer Kohli"/>
    <n v="246576120553"/>
    <x v="1"/>
    <x v="9"/>
    <x v="9"/>
    <x v="0"/>
    <x v="2"/>
    <n v="209237.66"/>
    <x v="4"/>
    <d v="2024-06-09T00:00:00"/>
    <x v="0"/>
    <n v="2140324.83"/>
    <s v="No"/>
    <x v="5"/>
    <n v="209237.66"/>
    <n v="0"/>
    <x v="1"/>
    <s v="One-Time User"/>
  </r>
  <r>
    <x v="18"/>
    <n v="107172"/>
    <s v="Ekani Dara"/>
    <n v="475789086915"/>
    <x v="2"/>
    <x v="3"/>
    <x v="3"/>
    <x v="1"/>
    <x v="2"/>
    <n v="208142.17"/>
    <x v="3"/>
    <d v="2024-08-13T00:00:00"/>
    <x v="0"/>
    <n v="1704438.38"/>
    <s v="No"/>
    <x v="4"/>
    <n v="208142.17"/>
    <n v="0"/>
    <x v="1"/>
    <s v="One-Time User"/>
  </r>
  <r>
    <x v="19"/>
    <n v="792128"/>
    <s v="Jai Tandon"/>
    <n v="421404337824"/>
    <x v="0"/>
    <x v="4"/>
    <x v="4"/>
    <x v="1"/>
    <x v="1"/>
    <n v="109602.66"/>
    <x v="1"/>
    <d v="2024-11-18T00:00:00"/>
    <x v="0"/>
    <n v="1407474.11"/>
    <s v="No"/>
    <x v="16"/>
    <n v="-109602.66"/>
    <n v="0"/>
    <x v="1"/>
    <s v="One-Time User"/>
  </r>
  <r>
    <x v="20"/>
    <n v="901380"/>
    <s v="Watika Mistry"/>
    <n v="399559926548"/>
    <x v="4"/>
    <x v="13"/>
    <x v="13"/>
    <x v="0"/>
    <x v="1"/>
    <n v="88517.73"/>
    <x v="4"/>
    <d v="2025-02-07T00:00:00"/>
    <x v="0"/>
    <n v="473505.78"/>
    <s v="No"/>
    <x v="17"/>
    <n v="-88517.73"/>
    <n v="0"/>
    <x v="1"/>
    <s v="One-Time User"/>
  </r>
  <r>
    <x v="21"/>
    <n v="877399"/>
    <s v="Vasatika Johal"/>
    <n v="964797210985"/>
    <x v="4"/>
    <x v="14"/>
    <x v="14"/>
    <x v="0"/>
    <x v="3"/>
    <n v="415314.39"/>
    <x v="4"/>
    <d v="2025-03-09T00:00:00"/>
    <x v="0"/>
    <n v="1834945.27"/>
    <s v="No"/>
    <x v="18"/>
    <n v="415314.39"/>
    <n v="0"/>
    <x v="1"/>
    <s v="One-Time User"/>
  </r>
  <r>
    <x v="22"/>
    <n v="268498"/>
    <s v="Anya Prabhu"/>
    <n v="371376739219"/>
    <x v="3"/>
    <x v="10"/>
    <x v="10"/>
    <x v="0"/>
    <x v="3"/>
    <n v="41441.83"/>
    <x v="3"/>
    <d v="2024-10-05T00:00:00"/>
    <x v="2"/>
    <n v="1056408.71"/>
    <s v="No"/>
    <x v="6"/>
    <n v="41441.83"/>
    <n v="0"/>
    <x v="1"/>
    <s v="One-Time User"/>
  </r>
  <r>
    <x v="23"/>
    <n v="509182"/>
    <s v="Ekapad Gole"/>
    <n v="290112954278"/>
    <x v="3"/>
    <x v="7"/>
    <x v="7"/>
    <x v="0"/>
    <x v="3"/>
    <n v="342882.13"/>
    <x v="4"/>
    <d v="2024-12-25T00:00:00"/>
    <x v="0"/>
    <n v="540147.12"/>
    <s v="No"/>
    <x v="3"/>
    <n v="342882.13"/>
    <n v="0"/>
    <x v="1"/>
    <s v="One-Time User"/>
  </r>
  <r>
    <x v="24"/>
    <n v="298244"/>
    <s v="Sudiksha Chawla"/>
    <n v="977958651702"/>
    <x v="1"/>
    <x v="9"/>
    <x v="9"/>
    <x v="2"/>
    <x v="3"/>
    <n v="271432.19"/>
    <x v="2"/>
    <d v="2024-10-24T00:00:00"/>
    <x v="0"/>
    <n v="1473919.05"/>
    <s v="No"/>
    <x v="6"/>
    <n v="271432.19"/>
    <n v="0"/>
    <x v="1"/>
    <s v="One-Time User"/>
  </r>
  <r>
    <x v="25"/>
    <n v="564685"/>
    <s v="Varsha Mann"/>
    <n v="381970890311"/>
    <x v="3"/>
    <x v="10"/>
    <x v="10"/>
    <x v="2"/>
    <x v="3"/>
    <n v="253021.62"/>
    <x v="3"/>
    <d v="2024-04-23T00:00:00"/>
    <x v="0"/>
    <n v="2087860.21"/>
    <s v="No"/>
    <x v="14"/>
    <n v="253021.62"/>
    <n v="0"/>
    <x v="1"/>
    <s v="One-Time User"/>
  </r>
  <r>
    <x v="26"/>
    <n v="772989"/>
    <s v="Theodore Chandran"/>
    <n v="753553434809"/>
    <x v="0"/>
    <x v="11"/>
    <x v="11"/>
    <x v="2"/>
    <x v="1"/>
    <n v="20332.900000000001"/>
    <x v="3"/>
    <d v="2024-07-30T00:00:00"/>
    <x v="0"/>
    <n v="343435.64"/>
    <s v="No"/>
    <x v="10"/>
    <n v="-20332.900000000001"/>
    <n v="0"/>
    <x v="1"/>
    <s v="One-Time User"/>
  </r>
  <r>
    <x v="27"/>
    <n v="516447"/>
    <s v="Edhitha Bhardwaj"/>
    <n v="173872984561"/>
    <x v="1"/>
    <x v="1"/>
    <x v="1"/>
    <x v="2"/>
    <x v="1"/>
    <n v="108072.78"/>
    <x v="0"/>
    <d v="2024-06-07T00:00:00"/>
    <x v="1"/>
    <n v="1433209.47"/>
    <s v="No"/>
    <x v="5"/>
    <n v="-108072.78"/>
    <n v="0"/>
    <x v="0"/>
    <s v="One-Time User"/>
  </r>
  <r>
    <x v="28"/>
    <n v="171990"/>
    <s v="Chandresh Patel"/>
    <n v="427472926649"/>
    <x v="0"/>
    <x v="11"/>
    <x v="11"/>
    <x v="2"/>
    <x v="2"/>
    <n v="248672.35"/>
    <x v="2"/>
    <d v="2023-08-18T00:00:00"/>
    <x v="0"/>
    <n v="838290.03999999992"/>
    <s v="No"/>
    <x v="13"/>
    <n v="248672.35"/>
    <n v="0"/>
    <x v="1"/>
    <s v="One-Time User"/>
  </r>
  <r>
    <x v="29"/>
    <n v="217181"/>
    <s v="Janani Muni"/>
    <n v="336318549444"/>
    <x v="4"/>
    <x v="14"/>
    <x v="14"/>
    <x v="0"/>
    <x v="1"/>
    <n v="29516.09"/>
    <x v="4"/>
    <d v="2023-10-18T00:00:00"/>
    <x v="0"/>
    <n v="1870328.71"/>
    <s v="No"/>
    <x v="1"/>
    <n v="-29516.09"/>
    <n v="0"/>
    <x v="1"/>
    <s v="One-Time User"/>
  </r>
  <r>
    <x v="30"/>
    <n v="853995"/>
    <s v="Shivansh Prabhu"/>
    <n v="564485035229"/>
    <x v="4"/>
    <x v="15"/>
    <x v="15"/>
    <x v="2"/>
    <x v="0"/>
    <n v="285994.06"/>
    <x v="2"/>
    <d v="2024-05-17T00:00:00"/>
    <x v="0"/>
    <n v="2159844.0099999998"/>
    <s v="No"/>
    <x v="7"/>
    <n v="285994.06"/>
    <n v="0"/>
    <x v="1"/>
    <s v="One-Time User"/>
  </r>
  <r>
    <x v="31"/>
    <n v="433879"/>
    <s v="Aditya Prakash"/>
    <n v="201493145216"/>
    <x v="4"/>
    <x v="12"/>
    <x v="12"/>
    <x v="3"/>
    <x v="0"/>
    <n v="374242.97"/>
    <x v="2"/>
    <d v="2023-07-21T00:00:00"/>
    <x v="0"/>
    <n v="1965672.23"/>
    <s v="No"/>
    <x v="9"/>
    <n v="374242.97"/>
    <n v="0"/>
    <x v="1"/>
    <s v="One-Time User"/>
  </r>
  <r>
    <x v="32"/>
    <n v="651973"/>
    <s v="Ganga Contractor"/>
    <n v="560621316956"/>
    <x v="2"/>
    <x v="16"/>
    <x v="16"/>
    <x v="1"/>
    <x v="0"/>
    <n v="148852.68"/>
    <x v="2"/>
    <d v="2025-05-19T00:00:00"/>
    <x v="0"/>
    <n v="1180170.71"/>
    <s v="No"/>
    <x v="19"/>
    <n v="148852.68"/>
    <n v="0"/>
    <x v="1"/>
    <s v="One-Time User"/>
  </r>
  <r>
    <x v="33"/>
    <n v="743304"/>
    <s v="Rushil Sachdeva"/>
    <n v="213916121897"/>
    <x v="3"/>
    <x v="7"/>
    <x v="7"/>
    <x v="2"/>
    <x v="3"/>
    <n v="101567.88"/>
    <x v="3"/>
    <d v="2025-03-30T00:00:00"/>
    <x v="0"/>
    <n v="199853.73"/>
    <s v="No"/>
    <x v="18"/>
    <n v="101567.88"/>
    <n v="0"/>
    <x v="1"/>
    <s v="One-Time User"/>
  </r>
  <r>
    <x v="34"/>
    <n v="433578"/>
    <s v="Warinder Dada"/>
    <n v="524724150945"/>
    <x v="0"/>
    <x v="0"/>
    <x v="0"/>
    <x v="0"/>
    <x v="2"/>
    <n v="229408.77"/>
    <x v="0"/>
    <d v="2025-02-18T00:00:00"/>
    <x v="0"/>
    <n v="777778"/>
    <s v="No"/>
    <x v="17"/>
    <n v="229408.77"/>
    <n v="0"/>
    <x v="0"/>
    <s v="One-Time User"/>
  </r>
  <r>
    <x v="35"/>
    <n v="335618"/>
    <s v="Ekalinga Divan"/>
    <n v="978676125504"/>
    <x v="4"/>
    <x v="13"/>
    <x v="13"/>
    <x v="2"/>
    <x v="0"/>
    <n v="66704.02"/>
    <x v="1"/>
    <d v="2023-11-11T00:00:00"/>
    <x v="0"/>
    <n v="183649.06"/>
    <s v="No"/>
    <x v="11"/>
    <n v="66704.02"/>
    <n v="0"/>
    <x v="1"/>
    <s v="One-Time User"/>
  </r>
  <r>
    <x v="36"/>
    <n v="134765"/>
    <s v="Aachal Acharya"/>
    <n v="580776402182"/>
    <x v="3"/>
    <x v="17"/>
    <x v="17"/>
    <x v="2"/>
    <x v="2"/>
    <n v="36992.14"/>
    <x v="3"/>
    <d v="2024-10-23T00:00:00"/>
    <x v="0"/>
    <n v="1678066.58"/>
    <s v="No"/>
    <x v="6"/>
    <n v="36992.14"/>
    <n v="0"/>
    <x v="1"/>
    <s v="One-Time User"/>
  </r>
  <r>
    <x v="37"/>
    <n v="837453"/>
    <s v="Meera Oza"/>
    <n v="192276969734"/>
    <x v="1"/>
    <x v="18"/>
    <x v="18"/>
    <x v="0"/>
    <x v="3"/>
    <n v="122297.94"/>
    <x v="4"/>
    <d v="2024-02-14T00:00:00"/>
    <x v="0"/>
    <n v="351667.74"/>
    <s v="No"/>
    <x v="15"/>
    <n v="122297.94"/>
    <n v="0"/>
    <x v="1"/>
    <s v="One-Time User"/>
  </r>
  <r>
    <x v="38"/>
    <n v="212429"/>
    <s v="Reyansh Chauhan"/>
    <n v="788289851630"/>
    <x v="4"/>
    <x v="12"/>
    <x v="12"/>
    <x v="0"/>
    <x v="2"/>
    <n v="270490.09999999998"/>
    <x v="2"/>
    <d v="2024-10-01T00:00:00"/>
    <x v="0"/>
    <n v="1171836.49"/>
    <s v="No"/>
    <x v="6"/>
    <n v="270490.09999999998"/>
    <n v="0"/>
    <x v="1"/>
    <s v="One-Time User"/>
  </r>
  <r>
    <x v="39"/>
    <n v="652501"/>
    <s v="Dayita Das"/>
    <n v="792670907549"/>
    <x v="0"/>
    <x v="19"/>
    <x v="19"/>
    <x v="2"/>
    <x v="0"/>
    <n v="51847.92"/>
    <x v="0"/>
    <d v="2024-09-13T00:00:00"/>
    <x v="0"/>
    <n v="930650.27"/>
    <s v="No"/>
    <x v="20"/>
    <n v="51847.92"/>
    <n v="0"/>
    <x v="0"/>
    <s v="One-Time User"/>
  </r>
  <r>
    <x v="40"/>
    <n v="223517"/>
    <s v="Anthony Comar"/>
    <n v="709411524006"/>
    <x v="4"/>
    <x v="12"/>
    <x v="12"/>
    <x v="2"/>
    <x v="2"/>
    <n v="134957.76999999999"/>
    <x v="2"/>
    <d v="2023-09-29T00:00:00"/>
    <x v="0"/>
    <n v="604057.52"/>
    <s v="No"/>
    <x v="21"/>
    <n v="134957.76999999999"/>
    <n v="0"/>
    <x v="1"/>
    <s v="One-Time User"/>
  </r>
  <r>
    <x v="41"/>
    <n v="875642"/>
    <s v="Upkaar Goyal"/>
    <n v="397885804569"/>
    <x v="4"/>
    <x v="20"/>
    <x v="20"/>
    <x v="1"/>
    <x v="1"/>
    <n v="58285.919999999998"/>
    <x v="3"/>
    <d v="2023-12-09T00:00:00"/>
    <x v="0"/>
    <n v="1596795"/>
    <s v="No"/>
    <x v="8"/>
    <n v="-58285.919999999998"/>
    <n v="0"/>
    <x v="1"/>
    <s v="One-Time User"/>
  </r>
  <r>
    <x v="42"/>
    <n v="634610"/>
    <s v="Barkha Ahluwalia"/>
    <n v="707104940908"/>
    <x v="3"/>
    <x v="21"/>
    <x v="21"/>
    <x v="2"/>
    <x v="1"/>
    <n v="143215.06"/>
    <x v="0"/>
    <d v="2024-07-15T00:00:00"/>
    <x v="3"/>
    <n v="1345360.8"/>
    <s v="No"/>
    <x v="10"/>
    <n v="-143215.06"/>
    <n v="0"/>
    <x v="0"/>
    <s v="One-Time User"/>
  </r>
  <r>
    <x v="43"/>
    <n v="378722"/>
    <s v="Zehaan Wali"/>
    <n v="327507559769"/>
    <x v="2"/>
    <x v="2"/>
    <x v="2"/>
    <x v="3"/>
    <x v="1"/>
    <n v="53733.54"/>
    <x v="3"/>
    <d v="2024-05-26T00:00:00"/>
    <x v="0"/>
    <n v="52500.329999999987"/>
    <s v="No"/>
    <x v="7"/>
    <n v="-53733.54"/>
    <n v="0"/>
    <x v="1"/>
    <s v="One-Time User"/>
  </r>
  <r>
    <x v="44"/>
    <n v="870934"/>
    <s v="Priya Kuruvilla"/>
    <n v="982037976790"/>
    <x v="4"/>
    <x v="14"/>
    <x v="14"/>
    <x v="0"/>
    <x v="0"/>
    <n v="334428.89"/>
    <x v="1"/>
    <d v="2023-08-13T00:00:00"/>
    <x v="0"/>
    <n v="1019397.23"/>
    <s v="No"/>
    <x v="13"/>
    <n v="334428.89"/>
    <n v="0"/>
    <x v="1"/>
    <s v="One-Time User"/>
  </r>
  <r>
    <x v="45"/>
    <n v="545234"/>
    <s v="Chandani Walia"/>
    <n v="702697254640"/>
    <x v="3"/>
    <x v="21"/>
    <x v="21"/>
    <x v="1"/>
    <x v="0"/>
    <n v="239589.03"/>
    <x v="3"/>
    <d v="2023-09-17T00:00:00"/>
    <x v="0"/>
    <n v="1886842.96"/>
    <s v="No"/>
    <x v="21"/>
    <n v="239589.03"/>
    <n v="0"/>
    <x v="1"/>
    <s v="One-Time User"/>
  </r>
  <r>
    <x v="46"/>
    <n v="282725"/>
    <s v="Jack Sridhar"/>
    <n v="590927660148"/>
    <x v="3"/>
    <x v="22"/>
    <x v="22"/>
    <x v="0"/>
    <x v="3"/>
    <n v="228752.03"/>
    <x v="1"/>
    <d v="2024-02-26T00:00:00"/>
    <x v="0"/>
    <n v="1606533"/>
    <s v="Yes"/>
    <x v="15"/>
    <n v="228752.03"/>
    <n v="1"/>
    <x v="1"/>
    <s v="One-Time User"/>
  </r>
  <r>
    <x v="47"/>
    <n v="798832"/>
    <s v="Advik Natt"/>
    <n v="366996690919"/>
    <x v="3"/>
    <x v="7"/>
    <x v="7"/>
    <x v="0"/>
    <x v="3"/>
    <n v="228603.21"/>
    <x v="1"/>
    <d v="2023-07-21T00:00:00"/>
    <x v="0"/>
    <n v="430998.17"/>
    <s v="No"/>
    <x v="9"/>
    <n v="228603.21"/>
    <n v="0"/>
    <x v="1"/>
    <s v="One-Time User"/>
  </r>
  <r>
    <x v="48"/>
    <n v="693194"/>
    <s v="David Dhaliwal"/>
    <n v="715222997316"/>
    <x v="1"/>
    <x v="9"/>
    <x v="9"/>
    <x v="1"/>
    <x v="3"/>
    <n v="241180.65"/>
    <x v="1"/>
    <d v="2023-11-28T00:00:00"/>
    <x v="0"/>
    <n v="820338.34"/>
    <s v="No"/>
    <x v="11"/>
    <n v="241180.65"/>
    <n v="0"/>
    <x v="1"/>
    <s v="One-Time User"/>
  </r>
  <r>
    <x v="49"/>
    <n v="178161"/>
    <s v="Vritti Arora"/>
    <n v="850425096741"/>
    <x v="0"/>
    <x v="5"/>
    <x v="5"/>
    <x v="3"/>
    <x v="3"/>
    <n v="181478.37"/>
    <x v="0"/>
    <d v="2023-11-29T00:00:00"/>
    <x v="0"/>
    <n v="1640818.48"/>
    <s v="No"/>
    <x v="11"/>
    <n v="181478.37"/>
    <n v="0"/>
    <x v="0"/>
    <s v="One-Time User"/>
  </r>
  <r>
    <x v="50"/>
    <n v="945986"/>
    <s v="Bahadurjit Banerjee"/>
    <n v="316273586448"/>
    <x v="3"/>
    <x v="7"/>
    <x v="7"/>
    <x v="2"/>
    <x v="2"/>
    <n v="273414.65999999997"/>
    <x v="1"/>
    <d v="2025-02-24T00:00:00"/>
    <x v="3"/>
    <n v="673253.87"/>
    <s v="No"/>
    <x v="17"/>
    <n v="273414.65999999997"/>
    <n v="0"/>
    <x v="1"/>
    <s v="One-Time User"/>
  </r>
  <r>
    <x v="51"/>
    <n v="969262"/>
    <s v="Kamala Dhaliwal"/>
    <n v="593004841860"/>
    <x v="0"/>
    <x v="5"/>
    <x v="5"/>
    <x v="3"/>
    <x v="1"/>
    <n v="17312.52"/>
    <x v="0"/>
    <d v="2025-05-21T00:00:00"/>
    <x v="0"/>
    <n v="988997.22"/>
    <s v="Yes"/>
    <x v="19"/>
    <n v="-17312.52"/>
    <n v="1"/>
    <x v="0"/>
    <s v="One-Time User"/>
  </r>
  <r>
    <x v="52"/>
    <n v="624419"/>
    <s v="Jagrati Bhattacharyya"/>
    <n v="315927510709"/>
    <x v="1"/>
    <x v="23"/>
    <x v="23"/>
    <x v="0"/>
    <x v="0"/>
    <n v="320272.01"/>
    <x v="0"/>
    <d v="2023-08-15T00:00:00"/>
    <x v="0"/>
    <n v="855697.4"/>
    <s v="No"/>
    <x v="13"/>
    <n v="320272.01"/>
    <n v="0"/>
    <x v="0"/>
    <s v="One-Time User"/>
  </r>
  <r>
    <x v="53"/>
    <n v="690301"/>
    <s v="Hritik Contractor"/>
    <n v="726575855284"/>
    <x v="1"/>
    <x v="9"/>
    <x v="9"/>
    <x v="1"/>
    <x v="3"/>
    <n v="72231.47"/>
    <x v="3"/>
    <d v="2024-07-19T00:00:00"/>
    <x v="0"/>
    <n v="1904363.29"/>
    <s v="No"/>
    <x v="10"/>
    <n v="72231.47"/>
    <n v="0"/>
    <x v="1"/>
    <s v="One-Time User"/>
  </r>
  <r>
    <x v="54"/>
    <n v="247721"/>
    <s v="Alka Rao"/>
    <n v="388988910146"/>
    <x v="2"/>
    <x v="8"/>
    <x v="8"/>
    <x v="0"/>
    <x v="1"/>
    <n v="27223.82"/>
    <x v="1"/>
    <d v="2024-10-30T00:00:00"/>
    <x v="0"/>
    <n v="1584338.01"/>
    <s v="No"/>
    <x v="6"/>
    <n v="-27223.82"/>
    <n v="0"/>
    <x v="1"/>
    <s v="One-Time User"/>
  </r>
  <r>
    <x v="55"/>
    <n v="752827"/>
    <s v="Aadhya Naidu"/>
    <n v="755637196899"/>
    <x v="0"/>
    <x v="4"/>
    <x v="4"/>
    <x v="0"/>
    <x v="1"/>
    <n v="94133.21"/>
    <x v="0"/>
    <d v="2025-05-27T00:00:00"/>
    <x v="1"/>
    <n v="545204.92000000004"/>
    <s v="No"/>
    <x v="19"/>
    <n v="-94133.21"/>
    <n v="0"/>
    <x v="0"/>
    <s v="One-Time User"/>
  </r>
  <r>
    <x v="56"/>
    <n v="407754"/>
    <s v="Ekalinga Master"/>
    <n v="170246566065"/>
    <x v="3"/>
    <x v="22"/>
    <x v="22"/>
    <x v="2"/>
    <x v="3"/>
    <n v="176352.05"/>
    <x v="1"/>
    <d v="2025-01-05T00:00:00"/>
    <x v="0"/>
    <n v="1754863.47"/>
    <s v="No"/>
    <x v="22"/>
    <n v="176352.05"/>
    <n v="0"/>
    <x v="1"/>
    <s v="One-Time User"/>
  </r>
  <r>
    <x v="57"/>
    <n v="567798"/>
    <s v="Aishani Sachdev"/>
    <n v="582149472587"/>
    <x v="2"/>
    <x v="8"/>
    <x v="8"/>
    <x v="2"/>
    <x v="2"/>
    <n v="125796.18"/>
    <x v="3"/>
    <d v="2024-08-14T00:00:00"/>
    <x v="3"/>
    <n v="310897.05"/>
    <s v="No"/>
    <x v="4"/>
    <n v="125796.18"/>
    <n v="0"/>
    <x v="1"/>
    <s v="One-Time User"/>
  </r>
  <r>
    <x v="58"/>
    <n v="552695"/>
    <s v="Gopal Jaggi"/>
    <n v="604716561890"/>
    <x v="0"/>
    <x v="19"/>
    <x v="19"/>
    <x v="3"/>
    <x v="3"/>
    <n v="450326.06"/>
    <x v="4"/>
    <d v="2024-12-25T00:00:00"/>
    <x v="0"/>
    <n v="686226.5"/>
    <s v="No"/>
    <x v="3"/>
    <n v="450326.06"/>
    <n v="0"/>
    <x v="1"/>
    <s v="One-Time User"/>
  </r>
  <r>
    <x v="59"/>
    <n v="683741"/>
    <s v="Manbir Golla"/>
    <n v="930540134859"/>
    <x v="1"/>
    <x v="23"/>
    <x v="23"/>
    <x v="3"/>
    <x v="0"/>
    <n v="511661.67"/>
    <x v="1"/>
    <d v="2024-05-03T00:00:00"/>
    <x v="0"/>
    <n v="613016.15"/>
    <s v="No"/>
    <x v="7"/>
    <n v="511661.67"/>
    <n v="0"/>
    <x v="1"/>
    <s v="One-Time User"/>
  </r>
  <r>
    <x v="60"/>
    <n v="553618"/>
    <s v="Pooja Banerjee"/>
    <n v="667033396764"/>
    <x v="0"/>
    <x v="5"/>
    <x v="5"/>
    <x v="0"/>
    <x v="3"/>
    <n v="188748.49"/>
    <x v="1"/>
    <d v="2025-02-10T00:00:00"/>
    <x v="0"/>
    <n v="631156.77"/>
    <s v="No"/>
    <x v="17"/>
    <n v="188748.49"/>
    <n v="0"/>
    <x v="1"/>
    <s v="One-Time User"/>
  </r>
  <r>
    <x v="61"/>
    <n v="883947"/>
    <s v="Unnati Seth"/>
    <n v="261079556384"/>
    <x v="3"/>
    <x v="22"/>
    <x v="22"/>
    <x v="1"/>
    <x v="3"/>
    <n v="336060.86"/>
    <x v="3"/>
    <d v="2024-10-16T00:00:00"/>
    <x v="0"/>
    <n v="501511.86"/>
    <s v="No"/>
    <x v="6"/>
    <n v="336060.86"/>
    <n v="0"/>
    <x v="1"/>
    <s v="One-Time User"/>
  </r>
  <r>
    <x v="62"/>
    <n v="561029"/>
    <s v="Vihaan Chowdhury"/>
    <n v="160461931506"/>
    <x v="3"/>
    <x v="7"/>
    <x v="7"/>
    <x v="1"/>
    <x v="1"/>
    <n v="62046.95"/>
    <x v="4"/>
    <d v="2025-01-09T00:00:00"/>
    <x v="3"/>
    <n v="375954.72"/>
    <s v="No"/>
    <x v="22"/>
    <n v="-62046.95"/>
    <n v="0"/>
    <x v="1"/>
    <s v="One-Time User"/>
  </r>
  <r>
    <x v="63"/>
    <n v="123451"/>
    <s v="Yashoda Choudhury"/>
    <n v="775194651628"/>
    <x v="1"/>
    <x v="24"/>
    <x v="24"/>
    <x v="2"/>
    <x v="2"/>
    <n v="186460.63"/>
    <x v="2"/>
    <d v="2024-03-06T00:00:00"/>
    <x v="2"/>
    <n v="687831.58000000007"/>
    <s v="No"/>
    <x v="2"/>
    <n v="186460.63"/>
    <n v="0"/>
    <x v="1"/>
    <s v="One-Time User"/>
  </r>
  <r>
    <x v="64"/>
    <n v="932665"/>
    <s v="Rishi Desai"/>
    <n v="684612790738"/>
    <x v="1"/>
    <x v="24"/>
    <x v="24"/>
    <x v="0"/>
    <x v="2"/>
    <n v="10454.32"/>
    <x v="4"/>
    <d v="2024-07-02T00:00:00"/>
    <x v="0"/>
    <n v="167674.6"/>
    <s v="No"/>
    <x v="10"/>
    <n v="10454.32"/>
    <n v="0"/>
    <x v="1"/>
    <s v="One-Time User"/>
  </r>
  <r>
    <x v="65"/>
    <n v="105013"/>
    <s v="Garima Ray"/>
    <n v="244696373610"/>
    <x v="3"/>
    <x v="17"/>
    <x v="17"/>
    <x v="1"/>
    <x v="3"/>
    <n v="207043.55"/>
    <x v="3"/>
    <d v="2024-10-04T00:00:00"/>
    <x v="0"/>
    <n v="1957746.55"/>
    <s v="No"/>
    <x v="6"/>
    <n v="207043.55"/>
    <n v="0"/>
    <x v="1"/>
    <s v="One-Time User"/>
  </r>
  <r>
    <x v="66"/>
    <n v="876150"/>
    <s v="Mitali Nigam"/>
    <n v="232180677568"/>
    <x v="3"/>
    <x v="17"/>
    <x v="17"/>
    <x v="1"/>
    <x v="2"/>
    <n v="2685.68"/>
    <x v="4"/>
    <d v="2024-12-16T00:00:00"/>
    <x v="0"/>
    <n v="1087487.46"/>
    <s v="No"/>
    <x v="3"/>
    <n v="2685.68"/>
    <n v="0"/>
    <x v="1"/>
    <s v="One-Time User"/>
  </r>
  <r>
    <x v="67"/>
    <n v="897276"/>
    <s v="Rachana Bansal"/>
    <n v="189711713821"/>
    <x v="0"/>
    <x v="0"/>
    <x v="0"/>
    <x v="1"/>
    <x v="1"/>
    <n v="86872.7"/>
    <x v="0"/>
    <d v="2023-12-06T00:00:00"/>
    <x v="0"/>
    <n v="1480230.05"/>
    <s v="No"/>
    <x v="8"/>
    <n v="-86872.7"/>
    <n v="0"/>
    <x v="0"/>
    <s v="One-Time User"/>
  </r>
  <r>
    <x v="68"/>
    <n v="817632"/>
    <s v="Matthew Ramachandran"/>
    <n v="414860744072"/>
    <x v="4"/>
    <x v="20"/>
    <x v="20"/>
    <x v="1"/>
    <x v="2"/>
    <n v="254430.23"/>
    <x v="2"/>
    <d v="2023-12-26T00:00:00"/>
    <x v="3"/>
    <n v="506011.52"/>
    <s v="No"/>
    <x v="8"/>
    <n v="254430.23"/>
    <n v="0"/>
    <x v="1"/>
    <s v="One-Time User"/>
  </r>
  <r>
    <x v="69"/>
    <n v="910508"/>
    <s v="Leela Ramachandran"/>
    <n v="726091926541"/>
    <x v="1"/>
    <x v="9"/>
    <x v="9"/>
    <x v="2"/>
    <x v="1"/>
    <n v="2142.71"/>
    <x v="0"/>
    <d v="2024-06-10T00:00:00"/>
    <x v="0"/>
    <n v="175635.71"/>
    <s v="No"/>
    <x v="5"/>
    <n v="-2142.71"/>
    <n v="0"/>
    <x v="0"/>
    <s v="One-Time User"/>
  </r>
  <r>
    <x v="70"/>
    <n v="651220"/>
    <s v="Jonathan Taneja"/>
    <n v="260561696809"/>
    <x v="1"/>
    <x v="1"/>
    <x v="1"/>
    <x v="2"/>
    <x v="1"/>
    <n v="126982.03"/>
    <x v="4"/>
    <d v="2025-02-22T00:00:00"/>
    <x v="0"/>
    <n v="579930.85"/>
    <s v="No"/>
    <x v="17"/>
    <n v="-126982.03"/>
    <n v="0"/>
    <x v="1"/>
    <s v="One-Time User"/>
  </r>
  <r>
    <x v="71"/>
    <n v="820049"/>
    <s v="Hema Savant"/>
    <n v="939671397979"/>
    <x v="2"/>
    <x v="16"/>
    <x v="16"/>
    <x v="2"/>
    <x v="3"/>
    <n v="42148.13"/>
    <x v="3"/>
    <d v="2024-11-05T00:00:00"/>
    <x v="0"/>
    <n v="2030256.51"/>
    <s v="No"/>
    <x v="16"/>
    <n v="42148.13"/>
    <n v="0"/>
    <x v="1"/>
    <s v="One-Time User"/>
  </r>
  <r>
    <x v="72"/>
    <n v="679021"/>
    <s v="Laksh Naik"/>
    <n v="721091509137"/>
    <x v="2"/>
    <x v="8"/>
    <x v="8"/>
    <x v="0"/>
    <x v="3"/>
    <n v="394326.09"/>
    <x v="0"/>
    <d v="2023-10-23T00:00:00"/>
    <x v="0"/>
    <n v="1896600.3"/>
    <s v="No"/>
    <x v="1"/>
    <n v="394326.09"/>
    <n v="0"/>
    <x v="0"/>
    <s v="One-Time User"/>
  </r>
  <r>
    <x v="73"/>
    <n v="256851"/>
    <s v="Ati Kalita"/>
    <n v="174251495558"/>
    <x v="4"/>
    <x v="15"/>
    <x v="15"/>
    <x v="3"/>
    <x v="1"/>
    <n v="111775.28"/>
    <x v="4"/>
    <d v="2024-08-25T00:00:00"/>
    <x v="3"/>
    <n v="1569398.54"/>
    <s v="No"/>
    <x v="4"/>
    <n v="-111775.28"/>
    <n v="0"/>
    <x v="1"/>
    <s v="One-Time User"/>
  </r>
  <r>
    <x v="74"/>
    <n v="761621"/>
    <s v="Warda Jayaraman"/>
    <n v="335715085702"/>
    <x v="2"/>
    <x v="6"/>
    <x v="6"/>
    <x v="2"/>
    <x v="2"/>
    <n v="108963.54"/>
    <x v="1"/>
    <d v="2025-04-14T00:00:00"/>
    <x v="0"/>
    <n v="222485.48"/>
    <s v="No"/>
    <x v="0"/>
    <n v="108963.54"/>
    <n v="0"/>
    <x v="1"/>
    <s v="One-Time User"/>
  </r>
  <r>
    <x v="75"/>
    <n v="615769"/>
    <s v="Mekhala Sandhu"/>
    <n v="407129016960"/>
    <x v="4"/>
    <x v="20"/>
    <x v="20"/>
    <x v="1"/>
    <x v="3"/>
    <n v="5467.69"/>
    <x v="2"/>
    <d v="2024-08-14T00:00:00"/>
    <x v="0"/>
    <n v="300060.15000000002"/>
    <s v="No"/>
    <x v="4"/>
    <n v="5467.69"/>
    <n v="0"/>
    <x v="1"/>
    <s v="One-Time User"/>
  </r>
  <r>
    <x v="76"/>
    <n v="964477"/>
    <s v="Ucchal Deep"/>
    <n v="273078175564"/>
    <x v="3"/>
    <x v="17"/>
    <x v="17"/>
    <x v="2"/>
    <x v="2"/>
    <n v="77594.36"/>
    <x v="0"/>
    <d v="2023-09-01T00:00:00"/>
    <x v="0"/>
    <n v="1469822.53"/>
    <s v="No"/>
    <x v="21"/>
    <n v="77594.36"/>
    <n v="0"/>
    <x v="0"/>
    <s v="One-Time User"/>
  </r>
  <r>
    <x v="77"/>
    <n v="619316"/>
    <s v="Vinaya Singhal"/>
    <n v="921865469550"/>
    <x v="0"/>
    <x v="0"/>
    <x v="0"/>
    <x v="3"/>
    <x v="1"/>
    <n v="130332.95"/>
    <x v="4"/>
    <d v="2023-11-20T00:00:00"/>
    <x v="0"/>
    <n v="202394.12"/>
    <s v="No"/>
    <x v="11"/>
    <n v="-130332.95"/>
    <n v="0"/>
    <x v="1"/>
    <s v="One-Time User"/>
  </r>
  <r>
    <x v="78"/>
    <n v="258410"/>
    <s v="Isaac Sandal"/>
    <n v="668697508911"/>
    <x v="0"/>
    <x v="11"/>
    <x v="11"/>
    <x v="1"/>
    <x v="3"/>
    <n v="431597.82"/>
    <x v="0"/>
    <d v="2023-12-21T00:00:00"/>
    <x v="0"/>
    <n v="2153343.14"/>
    <s v="No"/>
    <x v="8"/>
    <n v="431597.82"/>
    <n v="0"/>
    <x v="0"/>
    <s v="One-Time User"/>
  </r>
  <r>
    <x v="79"/>
    <n v="683367"/>
    <s v="Fitan Memon"/>
    <n v="982009733970"/>
    <x v="4"/>
    <x v="15"/>
    <x v="15"/>
    <x v="1"/>
    <x v="0"/>
    <n v="329340.40999999997"/>
    <x v="1"/>
    <d v="2023-11-15T00:00:00"/>
    <x v="0"/>
    <n v="1368075.07"/>
    <s v="No"/>
    <x v="11"/>
    <n v="329340.40999999997"/>
    <n v="0"/>
    <x v="1"/>
    <s v="One-Time User"/>
  </r>
  <r>
    <x v="80"/>
    <n v="685188"/>
    <s v="Mason Contractor"/>
    <n v="440841637325"/>
    <x v="4"/>
    <x v="14"/>
    <x v="14"/>
    <x v="1"/>
    <x v="2"/>
    <n v="230671.33"/>
    <x v="4"/>
    <d v="2025-03-16T00:00:00"/>
    <x v="0"/>
    <n v="793311.08"/>
    <s v="No"/>
    <x v="18"/>
    <n v="230671.33"/>
    <n v="0"/>
    <x v="1"/>
    <s v="One-Time User"/>
  </r>
  <r>
    <x v="81"/>
    <n v="861387"/>
    <s v="Kritika Wason"/>
    <n v="206376466987"/>
    <x v="2"/>
    <x v="8"/>
    <x v="8"/>
    <x v="2"/>
    <x v="2"/>
    <n v="151847.43"/>
    <x v="4"/>
    <d v="2024-04-26T00:00:00"/>
    <x v="2"/>
    <n v="245310.82"/>
    <s v="No"/>
    <x v="14"/>
    <n v="151847.43"/>
    <n v="0"/>
    <x v="1"/>
    <s v="One-Time User"/>
  </r>
  <r>
    <x v="82"/>
    <n v="294793"/>
    <s v="Aahana Chahal"/>
    <n v="396259742856"/>
    <x v="3"/>
    <x v="17"/>
    <x v="17"/>
    <x v="0"/>
    <x v="2"/>
    <n v="43912.42"/>
    <x v="0"/>
    <d v="2025-04-21T00:00:00"/>
    <x v="0"/>
    <n v="720514.71000000008"/>
    <s v="No"/>
    <x v="0"/>
    <n v="43912.42"/>
    <n v="0"/>
    <x v="0"/>
    <s v="One-Time User"/>
  </r>
  <r>
    <x v="83"/>
    <n v="163591"/>
    <s v="Vansha Rai"/>
    <n v="643282698177"/>
    <x v="3"/>
    <x v="22"/>
    <x v="22"/>
    <x v="0"/>
    <x v="2"/>
    <n v="259387.62"/>
    <x v="2"/>
    <d v="2023-12-20T00:00:00"/>
    <x v="0"/>
    <n v="1341143.01"/>
    <s v="No"/>
    <x v="8"/>
    <n v="259387.62"/>
    <n v="0"/>
    <x v="1"/>
    <s v="One-Time User"/>
  </r>
  <r>
    <x v="84"/>
    <n v="999369"/>
    <s v="Isaac Peri"/>
    <n v="693909368952"/>
    <x v="2"/>
    <x v="8"/>
    <x v="8"/>
    <x v="2"/>
    <x v="1"/>
    <n v="113984.02"/>
    <x v="3"/>
    <d v="2024-10-02T00:00:00"/>
    <x v="0"/>
    <n v="1568873.7"/>
    <s v="Yes"/>
    <x v="6"/>
    <n v="-113984.02"/>
    <n v="1"/>
    <x v="1"/>
    <s v="One-Time User"/>
  </r>
  <r>
    <x v="85"/>
    <n v="436075"/>
    <s v="Arin Chandra"/>
    <n v="405209357833"/>
    <x v="1"/>
    <x v="1"/>
    <x v="1"/>
    <x v="1"/>
    <x v="3"/>
    <n v="25673.64"/>
    <x v="2"/>
    <d v="2024-07-02T00:00:00"/>
    <x v="0"/>
    <n v="231828.22"/>
    <s v="No"/>
    <x v="10"/>
    <n v="25673.64"/>
    <n v="0"/>
    <x v="1"/>
    <s v="One-Time User"/>
  </r>
  <r>
    <x v="86"/>
    <n v="246445"/>
    <s v="Veda Dube"/>
    <n v="626901044244"/>
    <x v="2"/>
    <x v="2"/>
    <x v="2"/>
    <x v="2"/>
    <x v="3"/>
    <n v="373738.22"/>
    <x v="0"/>
    <d v="2025-04-26T00:00:00"/>
    <x v="0"/>
    <n v="759841.91999999993"/>
    <s v="No"/>
    <x v="0"/>
    <n v="373738.22"/>
    <n v="0"/>
    <x v="0"/>
    <s v="One-Time User"/>
  </r>
  <r>
    <x v="87"/>
    <n v="649852"/>
    <s v="Rudra Wason"/>
    <n v="360164842230"/>
    <x v="1"/>
    <x v="18"/>
    <x v="18"/>
    <x v="3"/>
    <x v="3"/>
    <n v="135613.45000000001"/>
    <x v="3"/>
    <d v="2025-02-20T00:00:00"/>
    <x v="0"/>
    <n v="1878459.02"/>
    <s v="No"/>
    <x v="17"/>
    <n v="135613.45000000001"/>
    <n v="0"/>
    <x v="1"/>
    <s v="One-Time User"/>
  </r>
  <r>
    <x v="88"/>
    <n v="846632"/>
    <s v="Yauvani Rama"/>
    <n v="791650643766"/>
    <x v="2"/>
    <x v="16"/>
    <x v="16"/>
    <x v="1"/>
    <x v="1"/>
    <n v="135727.92000000001"/>
    <x v="0"/>
    <d v="2023-07-21T00:00:00"/>
    <x v="0"/>
    <n v="80849.75"/>
    <s v="No"/>
    <x v="9"/>
    <n v="-135727.92000000001"/>
    <n v="0"/>
    <x v="0"/>
    <s v="One-Time User"/>
  </r>
  <r>
    <x v="89"/>
    <n v="426604"/>
    <s v="Vritti Sabharwal"/>
    <n v="694508992835"/>
    <x v="1"/>
    <x v="1"/>
    <x v="1"/>
    <x v="0"/>
    <x v="0"/>
    <n v="181205.51"/>
    <x v="4"/>
    <d v="2025-05-02T00:00:00"/>
    <x v="0"/>
    <n v="2162794.13"/>
    <s v="No"/>
    <x v="19"/>
    <n v="181205.51"/>
    <n v="0"/>
    <x v="1"/>
    <s v="One-Time User"/>
  </r>
  <r>
    <x v="90"/>
    <n v="944525"/>
    <s v="Widisha Singhal"/>
    <n v="109856223455"/>
    <x v="3"/>
    <x v="17"/>
    <x v="17"/>
    <x v="0"/>
    <x v="2"/>
    <n v="181990.14"/>
    <x v="1"/>
    <d v="2024-09-13T00:00:00"/>
    <x v="0"/>
    <n v="971684.35"/>
    <s v="No"/>
    <x v="20"/>
    <n v="181990.14"/>
    <n v="0"/>
    <x v="1"/>
    <s v="One-Time User"/>
  </r>
  <r>
    <x v="91"/>
    <n v="592501"/>
    <s v="Jagvi Balay"/>
    <n v="699404858667"/>
    <x v="1"/>
    <x v="18"/>
    <x v="18"/>
    <x v="2"/>
    <x v="2"/>
    <n v="156947.67000000001"/>
    <x v="4"/>
    <d v="2024-06-10T00:00:00"/>
    <x v="0"/>
    <n v="1603555.77"/>
    <s v="No"/>
    <x v="5"/>
    <n v="156947.67000000001"/>
    <n v="0"/>
    <x v="1"/>
    <s v="One-Time User"/>
  </r>
  <r>
    <x v="92"/>
    <n v="768984"/>
    <s v="Jagdish Sagar"/>
    <n v="208342410757"/>
    <x v="2"/>
    <x v="8"/>
    <x v="8"/>
    <x v="1"/>
    <x v="2"/>
    <n v="229674.46"/>
    <x v="4"/>
    <d v="2024-02-07T00:00:00"/>
    <x v="0"/>
    <n v="853283.80999999994"/>
    <s v="No"/>
    <x v="15"/>
    <n v="229674.46"/>
    <n v="0"/>
    <x v="1"/>
    <s v="One-Time User"/>
  </r>
  <r>
    <x v="93"/>
    <n v="531859"/>
    <s v="Orinder Mahajan"/>
    <n v="640702669526"/>
    <x v="3"/>
    <x v="22"/>
    <x v="22"/>
    <x v="3"/>
    <x v="2"/>
    <n v="190072.68"/>
    <x v="2"/>
    <d v="2024-04-12T00:00:00"/>
    <x v="0"/>
    <n v="899951.25"/>
    <s v="No"/>
    <x v="14"/>
    <n v="190072.68"/>
    <n v="0"/>
    <x v="1"/>
    <s v="One-Time User"/>
  </r>
  <r>
    <x v="94"/>
    <n v="405881"/>
    <s v="Tripti Chandran"/>
    <n v="976230686799"/>
    <x v="3"/>
    <x v="7"/>
    <x v="7"/>
    <x v="1"/>
    <x v="1"/>
    <n v="93038.6"/>
    <x v="4"/>
    <d v="2024-01-30T00:00:00"/>
    <x v="0"/>
    <n v="1330639.23"/>
    <s v="No"/>
    <x v="23"/>
    <n v="-93038.6"/>
    <n v="0"/>
    <x v="1"/>
    <s v="One-Time User"/>
  </r>
  <r>
    <x v="95"/>
    <n v="286469"/>
    <s v="Chandani Mammen"/>
    <n v="605825525973"/>
    <x v="1"/>
    <x v="24"/>
    <x v="24"/>
    <x v="1"/>
    <x v="1"/>
    <n v="111276.4"/>
    <x v="0"/>
    <d v="2024-01-08T00:00:00"/>
    <x v="0"/>
    <n v="1518701.76"/>
    <s v="No"/>
    <x v="23"/>
    <n v="-111276.4"/>
    <n v="0"/>
    <x v="0"/>
    <s v="One-Time User"/>
  </r>
  <r>
    <x v="96"/>
    <n v="182726"/>
    <s v="Wakeeta Sandhu"/>
    <n v="915362443565"/>
    <x v="2"/>
    <x v="2"/>
    <x v="2"/>
    <x v="2"/>
    <x v="2"/>
    <n v="191244.09"/>
    <x v="4"/>
    <d v="2023-11-18T00:00:00"/>
    <x v="0"/>
    <n v="318250.03999999998"/>
    <s v="No"/>
    <x v="11"/>
    <n v="191244.09"/>
    <n v="0"/>
    <x v="1"/>
    <s v="One-Time User"/>
  </r>
  <r>
    <x v="97"/>
    <n v="584031"/>
    <s v="Brinda Minhas"/>
    <n v="858729220350"/>
    <x v="0"/>
    <x v="4"/>
    <x v="4"/>
    <x v="1"/>
    <x v="0"/>
    <n v="238817.39"/>
    <x v="2"/>
    <d v="2024-10-15T00:00:00"/>
    <x v="0"/>
    <n v="275766.65999999997"/>
    <s v="Yes"/>
    <x v="6"/>
    <n v="238817.39"/>
    <n v="1"/>
    <x v="1"/>
    <s v="One-Time User"/>
  </r>
  <r>
    <x v="98"/>
    <n v="518914"/>
    <s v="Upasna Wadhwa"/>
    <n v="741907644425"/>
    <x v="4"/>
    <x v="15"/>
    <x v="15"/>
    <x v="3"/>
    <x v="3"/>
    <n v="212352.26"/>
    <x v="3"/>
    <d v="2024-06-07T00:00:00"/>
    <x v="0"/>
    <n v="1767810"/>
    <s v="No"/>
    <x v="5"/>
    <n v="212352.26"/>
    <n v="0"/>
    <x v="1"/>
    <s v="One-Time User"/>
  </r>
  <r>
    <x v="99"/>
    <n v="737238"/>
    <s v="Hardik Savant"/>
    <n v="184804419951"/>
    <x v="2"/>
    <x v="2"/>
    <x v="2"/>
    <x v="2"/>
    <x v="2"/>
    <n v="264455.89"/>
    <x v="3"/>
    <d v="2025-03-26T00:00:00"/>
    <x v="0"/>
    <n v="1732815.58"/>
    <s v="No"/>
    <x v="18"/>
    <n v="264455.89"/>
    <n v="0"/>
    <x v="1"/>
    <s v="One-Time User"/>
  </r>
  <r>
    <x v="100"/>
    <n v="460707"/>
    <s v="Vivaan Borra"/>
    <n v="503436480030"/>
    <x v="0"/>
    <x v="19"/>
    <x v="19"/>
    <x v="0"/>
    <x v="2"/>
    <n v="131212.89000000001"/>
    <x v="4"/>
    <d v="2024-04-10T00:00:00"/>
    <x v="0"/>
    <n v="1938830.27"/>
    <s v="No"/>
    <x v="14"/>
    <n v="131212.89000000001"/>
    <n v="0"/>
    <x v="1"/>
    <s v="One-Time User"/>
  </r>
  <r>
    <x v="101"/>
    <n v="408467"/>
    <s v="Radha Sridhar"/>
    <n v="443440313367"/>
    <x v="1"/>
    <x v="18"/>
    <x v="18"/>
    <x v="3"/>
    <x v="2"/>
    <n v="262020.46"/>
    <x v="4"/>
    <d v="2025-02-27T00:00:00"/>
    <x v="0"/>
    <n v="909536.89"/>
    <s v="No"/>
    <x v="17"/>
    <n v="262020.46"/>
    <n v="0"/>
    <x v="1"/>
    <s v="One-Time User"/>
  </r>
  <r>
    <x v="102"/>
    <n v="544498"/>
    <s v="Maya Baria"/>
    <n v="823134970926"/>
    <x v="3"/>
    <x v="10"/>
    <x v="10"/>
    <x v="0"/>
    <x v="1"/>
    <n v="124381.09"/>
    <x v="4"/>
    <d v="2024-01-27T00:00:00"/>
    <x v="0"/>
    <n v="908547.25"/>
    <s v="No"/>
    <x v="23"/>
    <n v="-124381.09"/>
    <n v="0"/>
    <x v="1"/>
    <s v="One-Time User"/>
  </r>
  <r>
    <x v="103"/>
    <n v="621252"/>
    <s v="Meera Sibal"/>
    <n v="319436377684"/>
    <x v="2"/>
    <x v="3"/>
    <x v="3"/>
    <x v="3"/>
    <x v="2"/>
    <n v="160823.4"/>
    <x v="1"/>
    <d v="2025-06-10T00:00:00"/>
    <x v="0"/>
    <n v="1663818.17"/>
    <s v="No"/>
    <x v="12"/>
    <n v="160823.4"/>
    <n v="0"/>
    <x v="1"/>
    <s v="One-Time User"/>
  </r>
  <r>
    <x v="104"/>
    <n v="726225"/>
    <s v="Upma Srinivasan"/>
    <n v="262242868098"/>
    <x v="4"/>
    <x v="14"/>
    <x v="14"/>
    <x v="3"/>
    <x v="0"/>
    <n v="580253.53"/>
    <x v="4"/>
    <d v="2024-01-10T00:00:00"/>
    <x v="0"/>
    <n v="2200135.6800000002"/>
    <s v="No"/>
    <x v="23"/>
    <n v="580253.53"/>
    <n v="0"/>
    <x v="1"/>
    <s v="One-Time User"/>
  </r>
  <r>
    <x v="105"/>
    <n v="434987"/>
    <s v="Jacob Seth"/>
    <n v="513922347721"/>
    <x v="0"/>
    <x v="0"/>
    <x v="0"/>
    <x v="3"/>
    <x v="0"/>
    <n v="134600.71"/>
    <x v="4"/>
    <d v="2025-06-28T00:00:00"/>
    <x v="0"/>
    <n v="1982268"/>
    <s v="No"/>
    <x v="12"/>
    <n v="134600.71"/>
    <n v="0"/>
    <x v="1"/>
    <s v="One-Time User"/>
  </r>
  <r>
    <x v="106"/>
    <n v="718531"/>
    <s v="Lajita Pau"/>
    <n v="904962141704"/>
    <x v="4"/>
    <x v="13"/>
    <x v="13"/>
    <x v="0"/>
    <x v="1"/>
    <n v="127508.79"/>
    <x v="1"/>
    <d v="2023-10-04T00:00:00"/>
    <x v="0"/>
    <n v="531027.1"/>
    <s v="No"/>
    <x v="1"/>
    <n v="-127508.79"/>
    <n v="0"/>
    <x v="1"/>
    <s v="One-Time User"/>
  </r>
  <r>
    <x v="107"/>
    <n v="692379"/>
    <s v="Isaac Raval"/>
    <n v="488415133220"/>
    <x v="4"/>
    <x v="20"/>
    <x v="20"/>
    <x v="0"/>
    <x v="3"/>
    <n v="403120.57"/>
    <x v="0"/>
    <d v="2024-05-20T00:00:00"/>
    <x v="0"/>
    <n v="754321.82000000007"/>
    <s v="No"/>
    <x v="7"/>
    <n v="403120.57"/>
    <n v="0"/>
    <x v="0"/>
    <s v="One-Time User"/>
  </r>
  <r>
    <x v="108"/>
    <n v="533757"/>
    <s v="Andrew Sani"/>
    <n v="197930940390"/>
    <x v="0"/>
    <x v="11"/>
    <x v="11"/>
    <x v="3"/>
    <x v="3"/>
    <n v="384377.95"/>
    <x v="0"/>
    <d v="2024-11-22T00:00:00"/>
    <x v="0"/>
    <n v="943785.49"/>
    <s v="No"/>
    <x v="16"/>
    <n v="384377.95"/>
    <n v="0"/>
    <x v="0"/>
    <s v="One-Time User"/>
  </r>
  <r>
    <x v="109"/>
    <n v="317781"/>
    <s v="Tamanna Chandra"/>
    <n v="689762479864"/>
    <x v="2"/>
    <x v="6"/>
    <x v="6"/>
    <x v="0"/>
    <x v="1"/>
    <n v="12223.36"/>
    <x v="3"/>
    <d v="2023-11-24T00:00:00"/>
    <x v="0"/>
    <n v="211768.29"/>
    <s v="No"/>
    <x v="11"/>
    <n v="-12223.36"/>
    <n v="0"/>
    <x v="1"/>
    <s v="One-Time User"/>
  </r>
  <r>
    <x v="110"/>
    <n v="409256"/>
    <s v="Vyanjana Raja"/>
    <n v="616978136350"/>
    <x v="1"/>
    <x v="23"/>
    <x v="23"/>
    <x v="2"/>
    <x v="3"/>
    <n v="497985.44"/>
    <x v="3"/>
    <d v="2024-08-01T00:00:00"/>
    <x v="2"/>
    <n v="899053.12"/>
    <s v="No"/>
    <x v="4"/>
    <n v="497985.44"/>
    <n v="0"/>
    <x v="1"/>
    <s v="One-Time User"/>
  </r>
  <r>
    <x v="111"/>
    <n v="850255"/>
    <s v="Kevin Rege"/>
    <n v="989289734142"/>
    <x v="3"/>
    <x v="17"/>
    <x v="17"/>
    <x v="2"/>
    <x v="1"/>
    <n v="69366.789999999994"/>
    <x v="3"/>
    <d v="2024-10-15T00:00:00"/>
    <x v="0"/>
    <n v="1690157.48"/>
    <s v="No"/>
    <x v="6"/>
    <n v="-69366.789999999994"/>
    <n v="0"/>
    <x v="1"/>
    <s v="One-Time User"/>
  </r>
  <r>
    <x v="112"/>
    <n v="678961"/>
    <s v="Krisha Mammen"/>
    <n v="353294394784"/>
    <x v="2"/>
    <x v="3"/>
    <x v="3"/>
    <x v="0"/>
    <x v="3"/>
    <n v="89438.03"/>
    <x v="0"/>
    <d v="2024-07-29T00:00:00"/>
    <x v="0"/>
    <n v="613416.06000000006"/>
    <s v="No"/>
    <x v="10"/>
    <n v="89438.03"/>
    <n v="0"/>
    <x v="0"/>
    <s v="One-Time User"/>
  </r>
  <r>
    <x v="113"/>
    <n v="172992"/>
    <s v="Kavya Sastry"/>
    <n v="879867008186"/>
    <x v="4"/>
    <x v="14"/>
    <x v="14"/>
    <x v="1"/>
    <x v="1"/>
    <n v="39572.94"/>
    <x v="3"/>
    <d v="2024-06-18T00:00:00"/>
    <x v="0"/>
    <n v="1837709.49"/>
    <s v="No"/>
    <x v="5"/>
    <n v="-39572.94"/>
    <n v="0"/>
    <x v="1"/>
    <s v="One-Time User"/>
  </r>
  <r>
    <x v="114"/>
    <n v="618099"/>
    <s v="Jagat Hari"/>
    <n v="346427521349"/>
    <x v="2"/>
    <x v="6"/>
    <x v="6"/>
    <x v="1"/>
    <x v="3"/>
    <n v="175602.6"/>
    <x v="3"/>
    <d v="2024-01-08T00:00:00"/>
    <x v="0"/>
    <n v="1085277.28"/>
    <s v="No"/>
    <x v="23"/>
    <n v="175602.6"/>
    <n v="0"/>
    <x v="1"/>
    <s v="One-Time User"/>
  </r>
  <r>
    <x v="115"/>
    <n v="245396"/>
    <s v="Amruta Keer"/>
    <n v="142582750102"/>
    <x v="4"/>
    <x v="15"/>
    <x v="15"/>
    <x v="0"/>
    <x v="2"/>
    <n v="287661.89"/>
    <x v="2"/>
    <d v="2024-10-03T00:00:00"/>
    <x v="0"/>
    <n v="509167.84"/>
    <s v="No"/>
    <x v="6"/>
    <n v="287661.89"/>
    <n v="0"/>
    <x v="1"/>
    <s v="One-Time User"/>
  </r>
  <r>
    <x v="116"/>
    <n v="396948"/>
    <s v="Ayushman Ranganathan"/>
    <n v="847152245069"/>
    <x v="1"/>
    <x v="18"/>
    <x v="18"/>
    <x v="1"/>
    <x v="0"/>
    <n v="380035.38"/>
    <x v="4"/>
    <d v="2025-04-15T00:00:00"/>
    <x v="0"/>
    <n v="521060.94"/>
    <s v="No"/>
    <x v="0"/>
    <n v="380035.38"/>
    <n v="0"/>
    <x v="1"/>
    <s v="One-Time User"/>
  </r>
  <r>
    <x v="117"/>
    <n v="627945"/>
    <s v="Nandini Salvi"/>
    <n v="952800653604"/>
    <x v="3"/>
    <x v="17"/>
    <x v="17"/>
    <x v="2"/>
    <x v="2"/>
    <n v="153804.91"/>
    <x v="3"/>
    <d v="2023-09-01T00:00:00"/>
    <x v="0"/>
    <n v="1221345.6499999999"/>
    <s v="No"/>
    <x v="21"/>
    <n v="153804.91"/>
    <n v="0"/>
    <x v="1"/>
    <s v="One-Time User"/>
  </r>
  <r>
    <x v="118"/>
    <n v="439411"/>
    <s v="Chaaya Cheema"/>
    <n v="802999451859"/>
    <x v="2"/>
    <x v="8"/>
    <x v="8"/>
    <x v="3"/>
    <x v="3"/>
    <n v="113618.28"/>
    <x v="3"/>
    <d v="2024-08-10T00:00:00"/>
    <x v="0"/>
    <n v="1191424.69"/>
    <s v="No"/>
    <x v="4"/>
    <n v="113618.28"/>
    <n v="0"/>
    <x v="1"/>
    <s v="One-Time User"/>
  </r>
  <r>
    <x v="119"/>
    <n v="900676"/>
    <s v="Veer Lalla"/>
    <n v="980417793826"/>
    <x v="1"/>
    <x v="23"/>
    <x v="23"/>
    <x v="1"/>
    <x v="3"/>
    <n v="433074.01"/>
    <x v="2"/>
    <d v="2024-06-21T00:00:00"/>
    <x v="0"/>
    <n v="1054990.6399999999"/>
    <s v="No"/>
    <x v="5"/>
    <n v="433074.01"/>
    <n v="0"/>
    <x v="1"/>
    <s v="One-Time User"/>
  </r>
  <r>
    <x v="120"/>
    <n v="843102"/>
    <s v="Daniel Sekhon"/>
    <n v="920697483092"/>
    <x v="3"/>
    <x v="10"/>
    <x v="10"/>
    <x v="2"/>
    <x v="0"/>
    <n v="149417.23000000001"/>
    <x v="4"/>
    <d v="2025-07-01T00:00:00"/>
    <x v="0"/>
    <n v="274117.08"/>
    <s v="No"/>
    <x v="24"/>
    <n v="149417.23000000001"/>
    <n v="0"/>
    <x v="1"/>
    <s v="One-Time User"/>
  </r>
  <r>
    <x v="121"/>
    <n v="181978"/>
    <s v="Ethan Gill"/>
    <n v="440778300689"/>
    <x v="0"/>
    <x v="11"/>
    <x v="11"/>
    <x v="0"/>
    <x v="0"/>
    <n v="390198.76"/>
    <x v="1"/>
    <d v="2024-07-03T00:00:00"/>
    <x v="0"/>
    <n v="2155021.19"/>
    <s v="No"/>
    <x v="10"/>
    <n v="390198.76"/>
    <n v="0"/>
    <x v="1"/>
    <s v="One-Time User"/>
  </r>
  <r>
    <x v="122"/>
    <n v="948408"/>
    <s v="Chanchal Kara"/>
    <n v="176675428770"/>
    <x v="1"/>
    <x v="23"/>
    <x v="23"/>
    <x v="1"/>
    <x v="3"/>
    <n v="244655.55"/>
    <x v="3"/>
    <d v="2024-11-18T00:00:00"/>
    <x v="0"/>
    <n v="1771612.81"/>
    <s v="No"/>
    <x v="16"/>
    <n v="244655.55"/>
    <n v="0"/>
    <x v="1"/>
    <s v="One-Time User"/>
  </r>
  <r>
    <x v="123"/>
    <n v="524156"/>
    <s v="Yatan Bandi"/>
    <n v="300442436792"/>
    <x v="4"/>
    <x v="20"/>
    <x v="20"/>
    <x v="2"/>
    <x v="0"/>
    <n v="87325.57"/>
    <x v="1"/>
    <d v="2025-03-29T00:00:00"/>
    <x v="2"/>
    <n v="807658.13000000012"/>
    <s v="No"/>
    <x v="18"/>
    <n v="87325.57"/>
    <n v="0"/>
    <x v="1"/>
    <s v="One-Time User"/>
  </r>
  <r>
    <x v="124"/>
    <n v="223350"/>
    <s v="Turvi Nayak"/>
    <n v="650905653791"/>
    <x v="1"/>
    <x v="18"/>
    <x v="18"/>
    <x v="2"/>
    <x v="3"/>
    <n v="83160.84"/>
    <x v="3"/>
    <d v="2024-04-26T00:00:00"/>
    <x v="0"/>
    <n v="1048411.65"/>
    <s v="No"/>
    <x v="14"/>
    <n v="83160.84"/>
    <n v="0"/>
    <x v="1"/>
    <s v="One-Time User"/>
  </r>
  <r>
    <x v="125"/>
    <n v="860759"/>
    <s v="Robert Lal"/>
    <n v="274518043942"/>
    <x v="4"/>
    <x v="15"/>
    <x v="15"/>
    <x v="2"/>
    <x v="2"/>
    <n v="151300.17000000001"/>
    <x v="0"/>
    <d v="2024-10-26T00:00:00"/>
    <x v="0"/>
    <n v="2103522.29"/>
    <s v="No"/>
    <x v="6"/>
    <n v="151300.17000000001"/>
    <n v="0"/>
    <x v="0"/>
    <s v="One-Time User"/>
  </r>
  <r>
    <x v="126"/>
    <n v="275035"/>
    <s v="Bakhshi Kunda"/>
    <n v="880276020182"/>
    <x v="0"/>
    <x v="0"/>
    <x v="0"/>
    <x v="0"/>
    <x v="3"/>
    <n v="459795.81"/>
    <x v="3"/>
    <d v="2025-03-08T00:00:00"/>
    <x v="0"/>
    <n v="727378.75"/>
    <s v="No"/>
    <x v="18"/>
    <n v="459795.81"/>
    <n v="0"/>
    <x v="1"/>
    <s v="One-Time User"/>
  </r>
  <r>
    <x v="127"/>
    <n v="946700"/>
    <s v="Krishna Sarna"/>
    <n v="444007230901"/>
    <x v="0"/>
    <x v="19"/>
    <x v="19"/>
    <x v="0"/>
    <x v="2"/>
    <n v="234750.67"/>
    <x v="2"/>
    <d v="2024-11-24T00:00:00"/>
    <x v="0"/>
    <n v="1655537.9"/>
    <s v="No"/>
    <x v="16"/>
    <n v="234750.67"/>
    <n v="0"/>
    <x v="1"/>
    <s v="One-Time User"/>
  </r>
  <r>
    <x v="128"/>
    <n v="334468"/>
    <s v="Ayush Zachariah"/>
    <n v="799839515528"/>
    <x v="3"/>
    <x v="7"/>
    <x v="7"/>
    <x v="1"/>
    <x v="2"/>
    <n v="252952.49"/>
    <x v="1"/>
    <d v="2023-11-02T00:00:00"/>
    <x v="0"/>
    <n v="1472571.22"/>
    <s v="No"/>
    <x v="11"/>
    <n v="252952.49"/>
    <n v="0"/>
    <x v="1"/>
    <s v="One-Time User"/>
  </r>
  <r>
    <x v="129"/>
    <n v="774637"/>
    <s v="Jeet Chawla"/>
    <n v="431080009450"/>
    <x v="3"/>
    <x v="7"/>
    <x v="7"/>
    <x v="0"/>
    <x v="0"/>
    <n v="269429.23"/>
    <x v="2"/>
    <d v="2024-04-24T00:00:00"/>
    <x v="0"/>
    <n v="647570.24"/>
    <s v="No"/>
    <x v="14"/>
    <n v="269429.23"/>
    <n v="0"/>
    <x v="1"/>
    <s v="One-Time User"/>
  </r>
  <r>
    <x v="130"/>
    <n v="851296"/>
    <s v="Yadavi Wason"/>
    <n v="247431431877"/>
    <x v="0"/>
    <x v="5"/>
    <x v="5"/>
    <x v="2"/>
    <x v="2"/>
    <n v="193920.04"/>
    <x v="1"/>
    <d v="2023-07-13T00:00:00"/>
    <x v="0"/>
    <n v="1796676.19"/>
    <s v="No"/>
    <x v="9"/>
    <n v="193920.04"/>
    <n v="0"/>
    <x v="1"/>
    <s v="One-Time User"/>
  </r>
  <r>
    <x v="131"/>
    <n v="322365"/>
    <s v="Sanya Jaggi"/>
    <n v="265051585781"/>
    <x v="2"/>
    <x v="3"/>
    <x v="3"/>
    <x v="3"/>
    <x v="1"/>
    <n v="56240.77"/>
    <x v="3"/>
    <d v="2024-05-29T00:00:00"/>
    <x v="0"/>
    <n v="1542002.49"/>
    <s v="No"/>
    <x v="7"/>
    <n v="-56240.77"/>
    <n v="0"/>
    <x v="1"/>
    <s v="One-Time User"/>
  </r>
  <r>
    <x v="132"/>
    <n v="935644"/>
    <s v="Jhalak Walia"/>
    <n v="177523340140"/>
    <x v="2"/>
    <x v="16"/>
    <x v="16"/>
    <x v="0"/>
    <x v="0"/>
    <n v="596395.99"/>
    <x v="1"/>
    <d v="2025-02-10T00:00:00"/>
    <x v="2"/>
    <n v="1639467.16"/>
    <s v="No"/>
    <x v="17"/>
    <n v="596395.99"/>
    <n v="0"/>
    <x v="1"/>
    <s v="One-Time User"/>
  </r>
  <r>
    <x v="133"/>
    <n v="945657"/>
    <s v="Ishaan Vaidya"/>
    <n v="792853366341"/>
    <x v="4"/>
    <x v="13"/>
    <x v="13"/>
    <x v="1"/>
    <x v="2"/>
    <n v="55038.21"/>
    <x v="3"/>
    <d v="2024-09-28T00:00:00"/>
    <x v="0"/>
    <n v="1811889.41"/>
    <s v="No"/>
    <x v="20"/>
    <n v="55038.21"/>
    <n v="0"/>
    <x v="1"/>
    <s v="One-Time User"/>
  </r>
  <r>
    <x v="134"/>
    <n v="752028"/>
    <s v="Amrita Pathak"/>
    <n v="805666817485"/>
    <x v="0"/>
    <x v="19"/>
    <x v="19"/>
    <x v="3"/>
    <x v="2"/>
    <n v="115885.54"/>
    <x v="0"/>
    <d v="2024-03-07T00:00:00"/>
    <x v="0"/>
    <n v="1391066.47"/>
    <s v="No"/>
    <x v="2"/>
    <n v="115885.54"/>
    <n v="0"/>
    <x v="0"/>
    <s v="One-Time User"/>
  </r>
  <r>
    <x v="135"/>
    <n v="751030"/>
    <s v="George Sarraf"/>
    <n v="990579280992"/>
    <x v="3"/>
    <x v="7"/>
    <x v="7"/>
    <x v="3"/>
    <x v="0"/>
    <n v="526549.79"/>
    <x v="4"/>
    <d v="2025-04-02T00:00:00"/>
    <x v="0"/>
    <n v="1574601.6"/>
    <s v="No"/>
    <x v="0"/>
    <n v="526549.79"/>
    <n v="0"/>
    <x v="1"/>
    <s v="One-Time User"/>
  </r>
  <r>
    <x v="136"/>
    <n v="728256"/>
    <s v="Maanav Madan"/>
    <n v="824494447566"/>
    <x v="0"/>
    <x v="0"/>
    <x v="0"/>
    <x v="2"/>
    <x v="1"/>
    <n v="44496.26"/>
    <x v="2"/>
    <d v="2024-09-01T00:00:00"/>
    <x v="0"/>
    <n v="1439911.83"/>
    <s v="No"/>
    <x v="20"/>
    <n v="-44496.26"/>
    <n v="0"/>
    <x v="1"/>
    <s v="One-Time User"/>
  </r>
  <r>
    <x v="137"/>
    <n v="647407"/>
    <s v="Pavani Sampath"/>
    <n v="859240583067"/>
    <x v="4"/>
    <x v="15"/>
    <x v="15"/>
    <x v="2"/>
    <x v="2"/>
    <n v="163254.69"/>
    <x v="3"/>
    <d v="2024-02-08T00:00:00"/>
    <x v="0"/>
    <n v="1363525.22"/>
    <s v="No"/>
    <x v="15"/>
    <n v="163254.69"/>
    <n v="0"/>
    <x v="1"/>
    <s v="One-Time User"/>
  </r>
  <r>
    <x v="138"/>
    <n v="564962"/>
    <s v="Bimala Ratta"/>
    <n v="462554663247"/>
    <x v="2"/>
    <x v="2"/>
    <x v="2"/>
    <x v="1"/>
    <x v="1"/>
    <n v="87082.25"/>
    <x v="2"/>
    <d v="2023-09-17T00:00:00"/>
    <x v="0"/>
    <n v="1821809.35"/>
    <s v="No"/>
    <x v="21"/>
    <n v="-87082.25"/>
    <n v="0"/>
    <x v="1"/>
    <s v="One-Time User"/>
  </r>
  <r>
    <x v="139"/>
    <n v="772937"/>
    <s v="Siya Sahota"/>
    <n v="424979154506"/>
    <x v="2"/>
    <x v="6"/>
    <x v="6"/>
    <x v="1"/>
    <x v="3"/>
    <n v="16558.98"/>
    <x v="1"/>
    <d v="2023-11-22T00:00:00"/>
    <x v="0"/>
    <n v="1050564.5900000001"/>
    <s v="No"/>
    <x v="11"/>
    <n v="16558.98"/>
    <n v="0"/>
    <x v="1"/>
    <s v="One-Time User"/>
  </r>
  <r>
    <x v="140"/>
    <n v="653047"/>
    <s v="Leena Sheth"/>
    <n v="594804478063"/>
    <x v="3"/>
    <x v="17"/>
    <x v="17"/>
    <x v="3"/>
    <x v="3"/>
    <n v="118445.89"/>
    <x v="0"/>
    <d v="2025-05-14T00:00:00"/>
    <x v="0"/>
    <n v="1940977.35"/>
    <s v="Yes"/>
    <x v="19"/>
    <n v="118445.89"/>
    <n v="1"/>
    <x v="0"/>
    <s v="One-Time User"/>
  </r>
  <r>
    <x v="141"/>
    <n v="866889"/>
    <s v="Advay Tripathi"/>
    <n v="200258397818"/>
    <x v="1"/>
    <x v="23"/>
    <x v="23"/>
    <x v="1"/>
    <x v="0"/>
    <n v="538363.37"/>
    <x v="1"/>
    <d v="2023-11-08T00:00:00"/>
    <x v="0"/>
    <n v="1370478.57"/>
    <s v="No"/>
    <x v="11"/>
    <n v="538363.37"/>
    <n v="0"/>
    <x v="1"/>
    <s v="One-Time User"/>
  </r>
  <r>
    <x v="142"/>
    <n v="350891"/>
    <s v="Nathan Kaul"/>
    <n v="554515895107"/>
    <x v="0"/>
    <x v="5"/>
    <x v="5"/>
    <x v="1"/>
    <x v="2"/>
    <n v="115989.38"/>
    <x v="0"/>
    <d v="2025-02-03T00:00:00"/>
    <x v="0"/>
    <n v="998213.89"/>
    <s v="No"/>
    <x v="17"/>
    <n v="115989.38"/>
    <n v="0"/>
    <x v="0"/>
    <s v="One-Time User"/>
  </r>
  <r>
    <x v="143"/>
    <n v="882580"/>
    <s v="Harini Saran"/>
    <n v="551881289169"/>
    <x v="4"/>
    <x v="15"/>
    <x v="15"/>
    <x v="2"/>
    <x v="1"/>
    <n v="118044.41"/>
    <x v="1"/>
    <d v="2025-03-11T00:00:00"/>
    <x v="0"/>
    <n v="866095.88"/>
    <s v="No"/>
    <x v="18"/>
    <n v="-118044.41"/>
    <n v="0"/>
    <x v="1"/>
    <s v="One-Time User"/>
  </r>
  <r>
    <x v="144"/>
    <n v="658908"/>
    <s v="Simon Raju"/>
    <n v="432189750305"/>
    <x v="0"/>
    <x v="19"/>
    <x v="19"/>
    <x v="0"/>
    <x v="2"/>
    <n v="75762.73"/>
    <x v="4"/>
    <d v="2025-01-14T00:00:00"/>
    <x v="0"/>
    <n v="646653.53"/>
    <s v="No"/>
    <x v="22"/>
    <n v="75762.73"/>
    <n v="0"/>
    <x v="1"/>
    <s v="One-Time User"/>
  </r>
  <r>
    <x v="145"/>
    <n v="995453"/>
    <s v="Falan Ravi"/>
    <n v="548282814998"/>
    <x v="2"/>
    <x v="3"/>
    <x v="3"/>
    <x v="1"/>
    <x v="3"/>
    <n v="469955.81"/>
    <x v="0"/>
    <d v="2025-01-25T00:00:00"/>
    <x v="0"/>
    <n v="2048155.91"/>
    <s v="No"/>
    <x v="22"/>
    <n v="469955.81"/>
    <n v="0"/>
    <x v="0"/>
    <s v="One-Time User"/>
  </r>
  <r>
    <x v="146"/>
    <n v="481552"/>
    <s v="Megha Raja"/>
    <n v="599383994938"/>
    <x v="0"/>
    <x v="4"/>
    <x v="4"/>
    <x v="0"/>
    <x v="0"/>
    <n v="147489.57999999999"/>
    <x v="2"/>
    <d v="2023-07-15T00:00:00"/>
    <x v="0"/>
    <n v="1667932.38"/>
    <s v="No"/>
    <x v="9"/>
    <n v="147489.57999999999"/>
    <n v="0"/>
    <x v="1"/>
    <s v="One-Time User"/>
  </r>
  <r>
    <x v="147"/>
    <n v="946300"/>
    <s v="Zilmil Solanki"/>
    <n v="118420256517"/>
    <x v="0"/>
    <x v="11"/>
    <x v="11"/>
    <x v="2"/>
    <x v="1"/>
    <n v="133972.62"/>
    <x v="4"/>
    <d v="2025-01-22T00:00:00"/>
    <x v="0"/>
    <n v="412865.25"/>
    <s v="No"/>
    <x v="22"/>
    <n v="-133972.62"/>
    <n v="0"/>
    <x v="1"/>
    <s v="One-Time User"/>
  </r>
  <r>
    <x v="148"/>
    <n v="358049"/>
    <s v="Pahal Shroff"/>
    <n v="499277122705"/>
    <x v="2"/>
    <x v="2"/>
    <x v="2"/>
    <x v="1"/>
    <x v="3"/>
    <n v="406154.8"/>
    <x v="3"/>
    <d v="2024-06-23T00:00:00"/>
    <x v="0"/>
    <n v="2345208.34"/>
    <s v="No"/>
    <x v="5"/>
    <n v="406154.8"/>
    <n v="0"/>
    <x v="1"/>
    <s v="One-Time User"/>
  </r>
  <r>
    <x v="149"/>
    <n v="579752"/>
    <s v="Thomas Rattan"/>
    <n v="185223890909"/>
    <x v="2"/>
    <x v="8"/>
    <x v="8"/>
    <x v="3"/>
    <x v="3"/>
    <n v="92892.9"/>
    <x v="1"/>
    <d v="2023-08-15T00:00:00"/>
    <x v="0"/>
    <n v="164830.29999999999"/>
    <s v="No"/>
    <x v="13"/>
    <n v="92892.9"/>
    <n v="0"/>
    <x v="1"/>
    <s v="One-Time User"/>
  </r>
  <r>
    <x v="150"/>
    <n v="982731"/>
    <s v="Radha Borde"/>
    <n v="126451823883"/>
    <x v="3"/>
    <x v="7"/>
    <x v="7"/>
    <x v="1"/>
    <x v="3"/>
    <n v="193006.63"/>
    <x v="1"/>
    <d v="2023-09-23T00:00:00"/>
    <x v="0"/>
    <n v="670537.15"/>
    <s v="No"/>
    <x v="21"/>
    <n v="193006.63"/>
    <n v="0"/>
    <x v="1"/>
    <s v="One-Time User"/>
  </r>
  <r>
    <x v="151"/>
    <n v="695378"/>
    <s v="Eta Venkataraman"/>
    <n v="464662276260"/>
    <x v="4"/>
    <x v="14"/>
    <x v="14"/>
    <x v="3"/>
    <x v="0"/>
    <n v="160451.89000000001"/>
    <x v="1"/>
    <d v="2025-03-19T00:00:00"/>
    <x v="0"/>
    <n v="310616.62"/>
    <s v="No"/>
    <x v="18"/>
    <n v="160451.89000000001"/>
    <n v="0"/>
    <x v="1"/>
    <s v="One-Time User"/>
  </r>
  <r>
    <x v="152"/>
    <n v="749260"/>
    <s v="Turvi Buch"/>
    <n v="924783774270"/>
    <x v="3"/>
    <x v="21"/>
    <x v="21"/>
    <x v="3"/>
    <x v="2"/>
    <n v="277196.03000000003"/>
    <x v="1"/>
    <d v="2024-05-18T00:00:00"/>
    <x v="3"/>
    <n v="707859.62000000011"/>
    <s v="No"/>
    <x v="7"/>
    <n v="277196.03000000003"/>
    <n v="0"/>
    <x v="1"/>
    <s v="One-Time User"/>
  </r>
  <r>
    <x v="153"/>
    <n v="957981"/>
    <s v="Advaith Sankar"/>
    <n v="855946759203"/>
    <x v="3"/>
    <x v="17"/>
    <x v="17"/>
    <x v="0"/>
    <x v="3"/>
    <n v="69841.899999999994"/>
    <x v="3"/>
    <d v="2024-12-06T00:00:00"/>
    <x v="0"/>
    <n v="891749.57000000007"/>
    <s v="No"/>
    <x v="3"/>
    <n v="69841.899999999994"/>
    <n v="0"/>
    <x v="1"/>
    <s v="One-Time User"/>
  </r>
  <r>
    <x v="154"/>
    <n v="893415"/>
    <s v="Vrinda Nayak"/>
    <n v="956396989936"/>
    <x v="1"/>
    <x v="1"/>
    <x v="1"/>
    <x v="3"/>
    <x v="0"/>
    <n v="267487.64"/>
    <x v="1"/>
    <d v="2025-01-20T00:00:00"/>
    <x v="0"/>
    <n v="2062972.87"/>
    <s v="No"/>
    <x v="22"/>
    <n v="267487.64"/>
    <n v="0"/>
    <x v="1"/>
    <s v="One-Time User"/>
  </r>
  <r>
    <x v="155"/>
    <n v="270470"/>
    <s v="Pallavi Bumb"/>
    <n v="194148450617"/>
    <x v="0"/>
    <x v="11"/>
    <x v="11"/>
    <x v="1"/>
    <x v="3"/>
    <n v="70696.570000000007"/>
    <x v="1"/>
    <d v="2024-10-30T00:00:00"/>
    <x v="0"/>
    <n v="102989.25"/>
    <s v="No"/>
    <x v="6"/>
    <n v="70696.570000000007"/>
    <n v="0"/>
    <x v="1"/>
    <s v="One-Time User"/>
  </r>
  <r>
    <x v="156"/>
    <n v="775874"/>
    <s v="Unnati Dugar"/>
    <n v="113624287115"/>
    <x v="1"/>
    <x v="18"/>
    <x v="18"/>
    <x v="0"/>
    <x v="1"/>
    <n v="111768.05"/>
    <x v="1"/>
    <d v="2025-04-14T00:00:00"/>
    <x v="0"/>
    <n v="1778008.15"/>
    <s v="No"/>
    <x v="0"/>
    <n v="-111768.05"/>
    <n v="0"/>
    <x v="1"/>
    <s v="One-Time User"/>
  </r>
  <r>
    <x v="157"/>
    <n v="264651"/>
    <s v="Viraj Bhatia"/>
    <n v="687564757084"/>
    <x v="3"/>
    <x v="7"/>
    <x v="7"/>
    <x v="2"/>
    <x v="2"/>
    <n v="185535.98"/>
    <x v="3"/>
    <d v="2025-03-18T00:00:00"/>
    <x v="0"/>
    <n v="594950.13"/>
    <s v="No"/>
    <x v="18"/>
    <n v="185535.98"/>
    <n v="0"/>
    <x v="1"/>
    <s v="One-Time User"/>
  </r>
  <r>
    <x v="158"/>
    <n v="464154"/>
    <s v="Mugdha Panchal"/>
    <n v="219059604533"/>
    <x v="3"/>
    <x v="22"/>
    <x v="22"/>
    <x v="1"/>
    <x v="0"/>
    <n v="443617.87"/>
    <x v="3"/>
    <d v="2024-10-02T00:00:00"/>
    <x v="0"/>
    <n v="797962.84"/>
    <s v="No"/>
    <x v="6"/>
    <n v="443617.87"/>
    <n v="0"/>
    <x v="1"/>
    <s v="One-Time User"/>
  </r>
  <r>
    <x v="159"/>
    <n v="146344"/>
    <s v="David Bhakta"/>
    <n v="802060333395"/>
    <x v="1"/>
    <x v="23"/>
    <x v="23"/>
    <x v="0"/>
    <x v="3"/>
    <n v="21505.02"/>
    <x v="4"/>
    <d v="2023-09-02T00:00:00"/>
    <x v="0"/>
    <n v="1932874.96"/>
    <s v="No"/>
    <x v="21"/>
    <n v="21505.02"/>
    <n v="0"/>
    <x v="1"/>
    <s v="One-Time User"/>
  </r>
  <r>
    <x v="160"/>
    <n v="575179"/>
    <s v="Laksh Sarin"/>
    <n v="950574724598"/>
    <x v="0"/>
    <x v="4"/>
    <x v="4"/>
    <x v="2"/>
    <x v="2"/>
    <n v="41041.120000000003"/>
    <x v="0"/>
    <d v="2025-05-17T00:00:00"/>
    <x v="0"/>
    <n v="137008.63"/>
    <s v="No"/>
    <x v="19"/>
    <n v="41041.120000000003"/>
    <n v="0"/>
    <x v="0"/>
    <s v="One-Time User"/>
  </r>
  <r>
    <x v="161"/>
    <n v="721340"/>
    <s v="Lajita Malhotra"/>
    <n v="555966315099"/>
    <x v="0"/>
    <x v="5"/>
    <x v="5"/>
    <x v="1"/>
    <x v="1"/>
    <n v="127514.79"/>
    <x v="4"/>
    <d v="2023-12-15T00:00:00"/>
    <x v="2"/>
    <n v="970456.09999999986"/>
    <s v="No"/>
    <x v="8"/>
    <n v="-127514.79"/>
    <n v="0"/>
    <x v="1"/>
    <s v="One-Time User"/>
  </r>
  <r>
    <x v="162"/>
    <n v="978283"/>
    <s v="Ucchal Morar"/>
    <n v="686925039970"/>
    <x v="2"/>
    <x v="2"/>
    <x v="2"/>
    <x v="1"/>
    <x v="2"/>
    <n v="46440.959999999999"/>
    <x v="3"/>
    <d v="2024-06-29T00:00:00"/>
    <x v="0"/>
    <n v="1302694.5"/>
    <s v="No"/>
    <x v="5"/>
    <n v="46440.959999999999"/>
    <n v="0"/>
    <x v="1"/>
    <s v="One-Time User"/>
  </r>
  <r>
    <x v="163"/>
    <n v="308373"/>
    <s v="Hemang Srinivasan"/>
    <n v="850820030043"/>
    <x v="1"/>
    <x v="1"/>
    <x v="1"/>
    <x v="2"/>
    <x v="0"/>
    <n v="81438.09"/>
    <x v="3"/>
    <d v="2025-03-26T00:00:00"/>
    <x v="0"/>
    <n v="303737.78000000003"/>
    <s v="No"/>
    <x v="18"/>
    <n v="81438.09"/>
    <n v="0"/>
    <x v="1"/>
    <s v="One-Time User"/>
  </r>
  <r>
    <x v="164"/>
    <n v="382042"/>
    <s v="Unni Chander"/>
    <n v="672793088296"/>
    <x v="1"/>
    <x v="1"/>
    <x v="1"/>
    <x v="0"/>
    <x v="1"/>
    <n v="24609.7"/>
    <x v="2"/>
    <d v="2024-08-21T00:00:00"/>
    <x v="0"/>
    <n v="464560.08"/>
    <s v="No"/>
    <x v="4"/>
    <n v="-24609.7"/>
    <n v="0"/>
    <x v="1"/>
    <s v="One-Time User"/>
  </r>
  <r>
    <x v="165"/>
    <n v="841087"/>
    <s v="Dhriti Bhatti"/>
    <n v="340321947570"/>
    <x v="3"/>
    <x v="17"/>
    <x v="17"/>
    <x v="2"/>
    <x v="1"/>
    <n v="80691.649999999994"/>
    <x v="1"/>
    <d v="2024-11-25T00:00:00"/>
    <x v="0"/>
    <n v="1504466.62"/>
    <s v="No"/>
    <x v="16"/>
    <n v="-80691.649999999994"/>
    <n v="0"/>
    <x v="1"/>
    <s v="One-Time User"/>
  </r>
  <r>
    <x v="166"/>
    <n v="453621"/>
    <s v="Arjun Oza"/>
    <n v="572275455942"/>
    <x v="0"/>
    <x v="4"/>
    <x v="4"/>
    <x v="3"/>
    <x v="1"/>
    <n v="86333.22"/>
    <x v="3"/>
    <d v="2025-06-25T00:00:00"/>
    <x v="0"/>
    <n v="173826.27"/>
    <s v="No"/>
    <x v="12"/>
    <n v="-86333.22"/>
    <n v="0"/>
    <x v="1"/>
    <s v="One-Time User"/>
  </r>
  <r>
    <x v="167"/>
    <n v="194555"/>
    <s v="Abhiram Dua"/>
    <n v="623222273192"/>
    <x v="0"/>
    <x v="0"/>
    <x v="0"/>
    <x v="3"/>
    <x v="2"/>
    <n v="121786.38"/>
    <x v="4"/>
    <d v="2024-05-11T00:00:00"/>
    <x v="1"/>
    <n v="1986716.88"/>
    <s v="No"/>
    <x v="7"/>
    <n v="121786.38"/>
    <n v="0"/>
    <x v="1"/>
    <s v="One-Time User"/>
  </r>
  <r>
    <x v="168"/>
    <n v="770075"/>
    <s v="Banjeet Mahal"/>
    <n v="292949525017"/>
    <x v="0"/>
    <x v="0"/>
    <x v="0"/>
    <x v="0"/>
    <x v="2"/>
    <n v="130110.38"/>
    <x v="3"/>
    <d v="2024-09-30T00:00:00"/>
    <x v="0"/>
    <n v="1443432.25"/>
    <s v="No"/>
    <x v="20"/>
    <n v="130110.38"/>
    <n v="0"/>
    <x v="1"/>
    <s v="One-Time User"/>
  </r>
  <r>
    <x v="169"/>
    <n v="829378"/>
    <s v="Vasudha Nayar"/>
    <n v="903370949456"/>
    <x v="4"/>
    <x v="14"/>
    <x v="14"/>
    <x v="0"/>
    <x v="0"/>
    <n v="585632.02"/>
    <x v="3"/>
    <d v="2024-01-12T00:00:00"/>
    <x v="0"/>
    <n v="1709477.05"/>
    <s v="No"/>
    <x v="23"/>
    <n v="585632.02"/>
    <n v="0"/>
    <x v="1"/>
    <s v="One-Time User"/>
  </r>
  <r>
    <x v="170"/>
    <n v="987879"/>
    <s v="Daksha Dhawan"/>
    <n v="260587250312"/>
    <x v="2"/>
    <x v="2"/>
    <x v="2"/>
    <x v="3"/>
    <x v="1"/>
    <n v="13739.75"/>
    <x v="2"/>
    <d v="2025-06-10T00:00:00"/>
    <x v="0"/>
    <n v="1443259.36"/>
    <s v="No"/>
    <x v="12"/>
    <n v="-13739.75"/>
    <n v="0"/>
    <x v="1"/>
    <s v="One-Time User"/>
  </r>
  <r>
    <x v="171"/>
    <n v="232569"/>
    <s v="Harini Ravel"/>
    <n v="977364169001"/>
    <x v="0"/>
    <x v="0"/>
    <x v="0"/>
    <x v="0"/>
    <x v="3"/>
    <n v="217678.95"/>
    <x v="3"/>
    <d v="2023-12-18T00:00:00"/>
    <x v="0"/>
    <n v="1325870.71"/>
    <s v="No"/>
    <x v="8"/>
    <n v="217678.95"/>
    <n v="0"/>
    <x v="1"/>
    <s v="One-Time User"/>
  </r>
  <r>
    <x v="172"/>
    <n v="287130"/>
    <s v="Pranav Dave"/>
    <n v="390913928721"/>
    <x v="0"/>
    <x v="11"/>
    <x v="11"/>
    <x v="1"/>
    <x v="2"/>
    <n v="241267.85"/>
    <x v="2"/>
    <d v="2024-01-11T00:00:00"/>
    <x v="0"/>
    <n v="614510.72"/>
    <s v="No"/>
    <x v="23"/>
    <n v="241267.85"/>
    <n v="0"/>
    <x v="1"/>
    <s v="One-Time User"/>
  </r>
  <r>
    <x v="173"/>
    <n v="273869"/>
    <s v="Faraj Rout"/>
    <n v="722703997525"/>
    <x v="4"/>
    <x v="12"/>
    <x v="12"/>
    <x v="2"/>
    <x v="2"/>
    <n v="282229.52"/>
    <x v="3"/>
    <d v="2024-12-08T00:00:00"/>
    <x v="0"/>
    <n v="2278673.0299999998"/>
    <s v="No"/>
    <x v="3"/>
    <n v="282229.52"/>
    <n v="0"/>
    <x v="1"/>
    <s v="One-Time User"/>
  </r>
  <r>
    <x v="174"/>
    <n v="533366"/>
    <s v="Luke Luthra"/>
    <n v="792282281783"/>
    <x v="4"/>
    <x v="12"/>
    <x v="12"/>
    <x v="2"/>
    <x v="3"/>
    <n v="45405.21"/>
    <x v="2"/>
    <d v="2025-06-03T00:00:00"/>
    <x v="0"/>
    <n v="580928.07999999996"/>
    <s v="No"/>
    <x v="12"/>
    <n v="45405.21"/>
    <n v="0"/>
    <x v="1"/>
    <s v="One-Time User"/>
  </r>
  <r>
    <x v="175"/>
    <n v="392320"/>
    <s v="Urmi Patla"/>
    <n v="738265413805"/>
    <x v="3"/>
    <x v="10"/>
    <x v="10"/>
    <x v="1"/>
    <x v="0"/>
    <n v="212526.68"/>
    <x v="0"/>
    <d v="2025-01-25T00:00:00"/>
    <x v="0"/>
    <n v="602494.71"/>
    <s v="No"/>
    <x v="22"/>
    <n v="212526.68"/>
    <n v="0"/>
    <x v="0"/>
    <s v="One-Time User"/>
  </r>
  <r>
    <x v="176"/>
    <n v="489951"/>
    <s v="Chanakya Dhar"/>
    <n v="660462416947"/>
    <x v="2"/>
    <x v="16"/>
    <x v="16"/>
    <x v="2"/>
    <x v="3"/>
    <n v="338467.95"/>
    <x v="4"/>
    <d v="2025-01-08T00:00:00"/>
    <x v="0"/>
    <n v="847748.51"/>
    <s v="No"/>
    <x v="22"/>
    <n v="338467.95"/>
    <n v="0"/>
    <x v="1"/>
    <s v="One-Time User"/>
  </r>
  <r>
    <x v="177"/>
    <n v="182090"/>
    <s v="Yashodhara Ganesan"/>
    <n v="773349801258"/>
    <x v="4"/>
    <x v="13"/>
    <x v="13"/>
    <x v="2"/>
    <x v="3"/>
    <n v="144290.97"/>
    <x v="2"/>
    <d v="2024-02-22T00:00:00"/>
    <x v="0"/>
    <n v="1516905.19"/>
    <s v="No"/>
    <x v="15"/>
    <n v="144290.97"/>
    <n v="0"/>
    <x v="1"/>
    <s v="One-Time User"/>
  </r>
  <r>
    <x v="178"/>
    <n v="861891"/>
    <s v="Ranveer Rout"/>
    <n v="758276699400"/>
    <x v="3"/>
    <x v="10"/>
    <x v="10"/>
    <x v="2"/>
    <x v="3"/>
    <n v="34188.99"/>
    <x v="4"/>
    <d v="2024-02-11T00:00:00"/>
    <x v="0"/>
    <n v="320795.43"/>
    <s v="No"/>
    <x v="15"/>
    <n v="34188.99"/>
    <n v="0"/>
    <x v="1"/>
    <s v="One-Time User"/>
  </r>
  <r>
    <x v="179"/>
    <n v="915152"/>
    <s v="Wakeeta Ratti"/>
    <n v="885153418135"/>
    <x v="3"/>
    <x v="21"/>
    <x v="21"/>
    <x v="3"/>
    <x v="1"/>
    <n v="82302.03"/>
    <x v="1"/>
    <d v="2024-10-08T00:00:00"/>
    <x v="0"/>
    <n v="1644815.09"/>
    <s v="No"/>
    <x v="6"/>
    <n v="-82302.03"/>
    <n v="0"/>
    <x v="1"/>
    <s v="One-Time User"/>
  </r>
  <r>
    <x v="180"/>
    <n v="955248"/>
    <s v="Abhimanyu Sama"/>
    <n v="536354802733"/>
    <x v="2"/>
    <x v="6"/>
    <x v="6"/>
    <x v="3"/>
    <x v="3"/>
    <n v="333457.7"/>
    <x v="1"/>
    <d v="2025-01-09T00:00:00"/>
    <x v="3"/>
    <n v="1971539.37"/>
    <s v="No"/>
    <x v="22"/>
    <n v="333457.7"/>
    <n v="0"/>
    <x v="1"/>
    <s v="One-Time User"/>
  </r>
  <r>
    <x v="181"/>
    <n v="102739"/>
    <s v="Lohit Bajwa"/>
    <n v="774104911098"/>
    <x v="0"/>
    <x v="19"/>
    <x v="19"/>
    <x v="3"/>
    <x v="1"/>
    <n v="129936.35"/>
    <x v="4"/>
    <d v="2023-08-28T00:00:00"/>
    <x v="0"/>
    <n v="110612.71"/>
    <s v="No"/>
    <x v="13"/>
    <n v="-129936.35"/>
    <n v="0"/>
    <x v="1"/>
    <s v="One-Time User"/>
  </r>
  <r>
    <x v="182"/>
    <n v="870440"/>
    <s v="Widisha Luthra"/>
    <n v="599441016363"/>
    <x v="1"/>
    <x v="18"/>
    <x v="18"/>
    <x v="3"/>
    <x v="3"/>
    <n v="343331.26"/>
    <x v="1"/>
    <d v="2025-06-26T00:00:00"/>
    <x v="0"/>
    <n v="1665408.93"/>
    <s v="No"/>
    <x v="12"/>
    <n v="343331.26"/>
    <n v="0"/>
    <x v="1"/>
    <s v="One-Time User"/>
  </r>
  <r>
    <x v="183"/>
    <n v="568609"/>
    <s v="Nandini Borra"/>
    <n v="575512465389"/>
    <x v="2"/>
    <x v="6"/>
    <x v="6"/>
    <x v="0"/>
    <x v="1"/>
    <n v="6580.59"/>
    <x v="3"/>
    <d v="2025-05-29T00:00:00"/>
    <x v="2"/>
    <n v="1643987.43"/>
    <s v="No"/>
    <x v="19"/>
    <n v="-6580.59"/>
    <n v="0"/>
    <x v="1"/>
    <s v="One-Time User"/>
  </r>
  <r>
    <x v="184"/>
    <n v="365649"/>
    <s v="Oscar Naidu"/>
    <n v="709341661530"/>
    <x v="3"/>
    <x v="22"/>
    <x v="22"/>
    <x v="0"/>
    <x v="3"/>
    <n v="27356.09"/>
    <x v="0"/>
    <d v="2024-08-05T00:00:00"/>
    <x v="0"/>
    <n v="77396.25"/>
    <s v="No"/>
    <x v="4"/>
    <n v="27356.09"/>
    <n v="0"/>
    <x v="0"/>
    <s v="One-Time User"/>
  </r>
  <r>
    <x v="185"/>
    <n v="818603"/>
    <s v="Ishanvi Dixit"/>
    <n v="782215302028"/>
    <x v="0"/>
    <x v="5"/>
    <x v="5"/>
    <x v="0"/>
    <x v="0"/>
    <n v="259278.23"/>
    <x v="2"/>
    <d v="2025-06-02T00:00:00"/>
    <x v="1"/>
    <n v="1616440.48"/>
    <s v="No"/>
    <x v="12"/>
    <n v="259278.23"/>
    <n v="0"/>
    <x v="1"/>
    <s v="One-Time User"/>
  </r>
  <r>
    <x v="186"/>
    <n v="764919"/>
    <s v="Azaan Kota"/>
    <n v="459712929306"/>
    <x v="3"/>
    <x v="21"/>
    <x v="21"/>
    <x v="3"/>
    <x v="3"/>
    <n v="102247.08"/>
    <x v="2"/>
    <d v="2023-12-26T00:00:00"/>
    <x v="0"/>
    <n v="1111261.05"/>
    <s v="No"/>
    <x v="8"/>
    <n v="102247.08"/>
    <n v="0"/>
    <x v="1"/>
    <s v="One-Time User"/>
  </r>
  <r>
    <x v="187"/>
    <n v="408340"/>
    <s v="Patrick Oommen"/>
    <n v="128421661114"/>
    <x v="2"/>
    <x v="6"/>
    <x v="6"/>
    <x v="3"/>
    <x v="1"/>
    <n v="94310.27"/>
    <x v="4"/>
    <d v="2024-11-27T00:00:00"/>
    <x v="0"/>
    <n v="144857.48000000001"/>
    <s v="Yes"/>
    <x v="16"/>
    <n v="-94310.27"/>
    <n v="1"/>
    <x v="1"/>
    <s v="One-Time User"/>
  </r>
  <r>
    <x v="188"/>
    <n v="599905"/>
    <s v="Turvi Dara"/>
    <n v="532372091101"/>
    <x v="0"/>
    <x v="0"/>
    <x v="0"/>
    <x v="3"/>
    <x v="0"/>
    <n v="197642.07"/>
    <x v="0"/>
    <d v="2024-03-13T00:00:00"/>
    <x v="0"/>
    <n v="1385401.9"/>
    <s v="No"/>
    <x v="2"/>
    <n v="197642.07"/>
    <n v="0"/>
    <x v="0"/>
    <s v="One-Time User"/>
  </r>
  <r>
    <x v="189"/>
    <n v="185724"/>
    <s v="Aarnav Kant"/>
    <n v="133109804226"/>
    <x v="4"/>
    <x v="13"/>
    <x v="13"/>
    <x v="0"/>
    <x v="1"/>
    <n v="108609.83"/>
    <x v="2"/>
    <d v="2024-05-26T00:00:00"/>
    <x v="0"/>
    <n v="630301.93000000005"/>
    <s v="No"/>
    <x v="7"/>
    <n v="-108609.83"/>
    <n v="0"/>
    <x v="1"/>
    <s v="One-Time User"/>
  </r>
  <r>
    <x v="190"/>
    <n v="459857"/>
    <s v="Madhav Shenoy"/>
    <n v="674125296809"/>
    <x v="2"/>
    <x v="2"/>
    <x v="2"/>
    <x v="0"/>
    <x v="3"/>
    <n v="178673.93"/>
    <x v="2"/>
    <d v="2025-05-08T00:00:00"/>
    <x v="0"/>
    <n v="562061.77"/>
    <s v="No"/>
    <x v="19"/>
    <n v="178673.93"/>
    <n v="0"/>
    <x v="1"/>
    <s v="One-Time User"/>
  </r>
  <r>
    <x v="191"/>
    <n v="927818"/>
    <s v="Lohit Kurian"/>
    <n v="644707102453"/>
    <x v="1"/>
    <x v="1"/>
    <x v="1"/>
    <x v="3"/>
    <x v="3"/>
    <n v="274718.28000000003"/>
    <x v="3"/>
    <d v="2024-09-14T00:00:00"/>
    <x v="0"/>
    <n v="1754440.1"/>
    <s v="No"/>
    <x v="20"/>
    <n v="274718.28000000003"/>
    <n v="0"/>
    <x v="1"/>
    <s v="One-Time User"/>
  </r>
  <r>
    <x v="192"/>
    <n v="569704"/>
    <s v="Harsh Nayak"/>
    <n v="948080124499"/>
    <x v="0"/>
    <x v="0"/>
    <x v="0"/>
    <x v="2"/>
    <x v="0"/>
    <n v="570945.16"/>
    <x v="2"/>
    <d v="2024-08-30T00:00:00"/>
    <x v="0"/>
    <n v="2282261.11"/>
    <s v="No"/>
    <x v="4"/>
    <n v="570945.16"/>
    <n v="0"/>
    <x v="1"/>
    <s v="One-Time User"/>
  </r>
  <r>
    <x v="193"/>
    <n v="930330"/>
    <s v="Vasana Srinivas"/>
    <n v="171580026376"/>
    <x v="2"/>
    <x v="8"/>
    <x v="8"/>
    <x v="1"/>
    <x v="0"/>
    <n v="54099.78"/>
    <x v="3"/>
    <d v="2024-12-09T00:00:00"/>
    <x v="2"/>
    <n v="747054.91"/>
    <s v="No"/>
    <x v="3"/>
    <n v="54099.78"/>
    <n v="0"/>
    <x v="1"/>
    <s v="One-Time User"/>
  </r>
  <r>
    <x v="194"/>
    <n v="509505"/>
    <s v="Yashawini Handa"/>
    <n v="323601796174"/>
    <x v="2"/>
    <x v="2"/>
    <x v="2"/>
    <x v="2"/>
    <x v="3"/>
    <n v="347787.5"/>
    <x v="4"/>
    <d v="2023-08-02T00:00:00"/>
    <x v="0"/>
    <n v="1817009.99"/>
    <s v="No"/>
    <x v="13"/>
    <n v="347787.5"/>
    <n v="0"/>
    <x v="1"/>
    <s v="One-Time User"/>
  </r>
  <r>
    <x v="195"/>
    <n v="384060"/>
    <s v="Timothy Bhagat"/>
    <n v="174074350282"/>
    <x v="1"/>
    <x v="9"/>
    <x v="9"/>
    <x v="3"/>
    <x v="3"/>
    <n v="158285.28"/>
    <x v="4"/>
    <d v="2024-09-29T00:00:00"/>
    <x v="0"/>
    <n v="367563.6"/>
    <s v="No"/>
    <x v="20"/>
    <n v="158285.28"/>
    <n v="0"/>
    <x v="1"/>
    <s v="One-Time User"/>
  </r>
  <r>
    <x v="196"/>
    <n v="196463"/>
    <s v="Zinal Raju"/>
    <n v="446324586564"/>
    <x v="1"/>
    <x v="24"/>
    <x v="24"/>
    <x v="3"/>
    <x v="2"/>
    <n v="232081.79"/>
    <x v="0"/>
    <d v="2024-11-23T00:00:00"/>
    <x v="0"/>
    <n v="1764401.86"/>
    <s v="No"/>
    <x v="16"/>
    <n v="232081.79"/>
    <n v="0"/>
    <x v="0"/>
    <s v="One-Time User"/>
  </r>
  <r>
    <x v="197"/>
    <n v="869806"/>
    <s v="Logan Hayre"/>
    <n v="993033314029"/>
    <x v="3"/>
    <x v="21"/>
    <x v="21"/>
    <x v="1"/>
    <x v="2"/>
    <n v="224004.06"/>
    <x v="2"/>
    <d v="2024-03-18T00:00:00"/>
    <x v="0"/>
    <n v="1785565.49"/>
    <s v="No"/>
    <x v="2"/>
    <n v="224004.06"/>
    <n v="0"/>
    <x v="1"/>
    <s v="One-Time User"/>
  </r>
  <r>
    <x v="198"/>
    <n v="916524"/>
    <s v="Yutika Babu"/>
    <n v="294611826165"/>
    <x v="0"/>
    <x v="5"/>
    <x v="5"/>
    <x v="3"/>
    <x v="1"/>
    <n v="104110.42"/>
    <x v="3"/>
    <d v="2024-11-22T00:00:00"/>
    <x v="0"/>
    <n v="33534.019999999997"/>
    <s v="No"/>
    <x v="16"/>
    <n v="-104110.42"/>
    <n v="0"/>
    <x v="1"/>
    <s v="One-Time User"/>
  </r>
  <r>
    <x v="199"/>
    <n v="713748"/>
    <s v="Xavier Varughese"/>
    <n v="104745824924"/>
    <x v="2"/>
    <x v="16"/>
    <x v="16"/>
    <x v="3"/>
    <x v="3"/>
    <n v="180619.41"/>
    <x v="0"/>
    <d v="2024-12-12T00:00:00"/>
    <x v="3"/>
    <n v="1138412.6299999999"/>
    <s v="No"/>
    <x v="3"/>
    <n v="180619.41"/>
    <n v="0"/>
    <x v="0"/>
    <s v="One-Time User"/>
  </r>
  <r>
    <x v="200"/>
    <n v="147276"/>
    <s v="Elijah Sen"/>
    <n v="298367664209"/>
    <x v="4"/>
    <x v="15"/>
    <x v="15"/>
    <x v="1"/>
    <x v="3"/>
    <n v="51950.12"/>
    <x v="2"/>
    <d v="2025-02-12T00:00:00"/>
    <x v="0"/>
    <n v="901918.7"/>
    <s v="No"/>
    <x v="17"/>
    <n v="51950.12"/>
    <n v="0"/>
    <x v="1"/>
    <s v="One-Time User"/>
  </r>
  <r>
    <x v="201"/>
    <n v="534364"/>
    <s v="Amrita Baria"/>
    <n v="908844402758"/>
    <x v="4"/>
    <x v="14"/>
    <x v="14"/>
    <x v="1"/>
    <x v="0"/>
    <n v="443370.23999999999"/>
    <x v="2"/>
    <d v="2024-03-10T00:00:00"/>
    <x v="0"/>
    <n v="556602.14"/>
    <s v="No"/>
    <x v="2"/>
    <n v="443370.23999999999"/>
    <n v="0"/>
    <x v="1"/>
    <s v="One-Time User"/>
  </r>
  <r>
    <x v="202"/>
    <n v="929089"/>
    <s v="Frederick Prabhakar"/>
    <n v="879121856049"/>
    <x v="2"/>
    <x v="6"/>
    <x v="6"/>
    <x v="1"/>
    <x v="0"/>
    <n v="282561.71999999997"/>
    <x v="0"/>
    <d v="2024-07-11T00:00:00"/>
    <x v="1"/>
    <n v="1454386.03"/>
    <s v="No"/>
    <x v="10"/>
    <n v="282561.71999999997"/>
    <n v="0"/>
    <x v="0"/>
    <s v="One-Time User"/>
  </r>
  <r>
    <x v="203"/>
    <n v="767038"/>
    <s v="Amara Chacko"/>
    <n v="448540026288"/>
    <x v="3"/>
    <x v="10"/>
    <x v="10"/>
    <x v="1"/>
    <x v="2"/>
    <n v="154737.07"/>
    <x v="1"/>
    <d v="2024-11-28T00:00:00"/>
    <x v="0"/>
    <n v="1021765.12"/>
    <s v="No"/>
    <x v="16"/>
    <n v="154737.07"/>
    <n v="0"/>
    <x v="1"/>
    <s v="One-Time User"/>
  </r>
  <r>
    <x v="204"/>
    <n v="661975"/>
    <s v="Inaya Prabhakar"/>
    <n v="700954169412"/>
    <x v="4"/>
    <x v="20"/>
    <x v="20"/>
    <x v="0"/>
    <x v="2"/>
    <n v="116023.92"/>
    <x v="1"/>
    <d v="2025-04-14T00:00:00"/>
    <x v="0"/>
    <n v="1887254.61"/>
    <s v="No"/>
    <x v="0"/>
    <n v="116023.92"/>
    <n v="0"/>
    <x v="1"/>
    <s v="One-Time User"/>
  </r>
  <r>
    <x v="205"/>
    <n v="716285"/>
    <s v="Triveni Sanghvi"/>
    <n v="784033043076"/>
    <x v="2"/>
    <x v="2"/>
    <x v="2"/>
    <x v="1"/>
    <x v="0"/>
    <n v="70607.77"/>
    <x v="2"/>
    <d v="2024-02-07T00:00:00"/>
    <x v="0"/>
    <n v="1543020.48"/>
    <s v="No"/>
    <x v="15"/>
    <n v="70607.77"/>
    <n v="0"/>
    <x v="1"/>
    <s v="One-Time User"/>
  </r>
  <r>
    <x v="206"/>
    <n v="605524"/>
    <s v="Jacob Char"/>
    <n v="956938466004"/>
    <x v="3"/>
    <x v="17"/>
    <x v="17"/>
    <x v="1"/>
    <x v="1"/>
    <n v="72811.91"/>
    <x v="2"/>
    <d v="2024-05-24T00:00:00"/>
    <x v="0"/>
    <n v="84736.760000000009"/>
    <s v="No"/>
    <x v="7"/>
    <n v="-72811.91"/>
    <n v="0"/>
    <x v="1"/>
    <s v="One-Time User"/>
  </r>
  <r>
    <x v="207"/>
    <n v="765487"/>
    <s v="Pooja Baral"/>
    <n v="356872754777"/>
    <x v="2"/>
    <x v="6"/>
    <x v="6"/>
    <x v="1"/>
    <x v="1"/>
    <n v="107276.07"/>
    <x v="0"/>
    <d v="2025-01-01T00:00:00"/>
    <x v="0"/>
    <n v="1500386.7"/>
    <s v="No"/>
    <x v="22"/>
    <n v="-107276.07"/>
    <n v="0"/>
    <x v="0"/>
    <s v="One-Time User"/>
  </r>
  <r>
    <x v="208"/>
    <n v="155745"/>
    <s v="Harshil Ramaswamy"/>
    <n v="967181974276"/>
    <x v="1"/>
    <x v="1"/>
    <x v="1"/>
    <x v="3"/>
    <x v="0"/>
    <n v="91230.37"/>
    <x v="3"/>
    <d v="2023-11-05T00:00:00"/>
    <x v="0"/>
    <n v="1671638.55"/>
    <s v="No"/>
    <x v="11"/>
    <n v="91230.37"/>
    <n v="0"/>
    <x v="1"/>
    <s v="One-Time User"/>
  </r>
  <r>
    <x v="209"/>
    <n v="303453"/>
    <s v="Charles Devi"/>
    <n v="243746329004"/>
    <x v="4"/>
    <x v="12"/>
    <x v="12"/>
    <x v="0"/>
    <x v="3"/>
    <n v="152931.09"/>
    <x v="3"/>
    <d v="2024-03-22T00:00:00"/>
    <x v="0"/>
    <n v="687439.49"/>
    <s v="No"/>
    <x v="2"/>
    <n v="152931.09"/>
    <n v="0"/>
    <x v="1"/>
    <s v="One-Time User"/>
  </r>
  <r>
    <x v="210"/>
    <n v="787015"/>
    <s v="Hredhaan Aurora"/>
    <n v="575318543797"/>
    <x v="3"/>
    <x v="21"/>
    <x v="21"/>
    <x v="3"/>
    <x v="1"/>
    <n v="79178.86"/>
    <x v="3"/>
    <d v="2025-05-20T00:00:00"/>
    <x v="0"/>
    <n v="1718077.34"/>
    <s v="Yes"/>
    <x v="19"/>
    <n v="-79178.86"/>
    <n v="1"/>
    <x v="1"/>
    <s v="One-Time User"/>
  </r>
  <r>
    <x v="211"/>
    <n v="343315"/>
    <s v="Indrajit Brar"/>
    <n v="972348027984"/>
    <x v="4"/>
    <x v="14"/>
    <x v="14"/>
    <x v="0"/>
    <x v="2"/>
    <n v="56093.16"/>
    <x v="1"/>
    <d v="2023-11-07T00:00:00"/>
    <x v="0"/>
    <n v="2049780.56"/>
    <s v="No"/>
    <x v="11"/>
    <n v="56093.16"/>
    <n v="0"/>
    <x v="1"/>
    <s v="One-Time User"/>
  </r>
  <r>
    <x v="212"/>
    <n v="840177"/>
    <s v="Eta Zacharia"/>
    <n v="620866833278"/>
    <x v="1"/>
    <x v="23"/>
    <x v="23"/>
    <x v="2"/>
    <x v="1"/>
    <n v="28423.01"/>
    <x v="4"/>
    <d v="2025-04-28T00:00:00"/>
    <x v="0"/>
    <n v="508306.81999999989"/>
    <s v="No"/>
    <x v="0"/>
    <n v="-28423.01"/>
    <n v="0"/>
    <x v="1"/>
    <s v="One-Time User"/>
  </r>
  <r>
    <x v="213"/>
    <n v="449494"/>
    <s v="Henry Ratta"/>
    <n v="655684209042"/>
    <x v="1"/>
    <x v="1"/>
    <x v="1"/>
    <x v="1"/>
    <x v="2"/>
    <n v="265513.02"/>
    <x v="3"/>
    <d v="2024-09-04T00:00:00"/>
    <x v="0"/>
    <n v="1258078.81"/>
    <s v="No"/>
    <x v="20"/>
    <n v="265513.02"/>
    <n v="0"/>
    <x v="1"/>
    <s v="One-Time User"/>
  </r>
  <r>
    <x v="214"/>
    <n v="592263"/>
    <s v="Upasna Dash"/>
    <n v="393065946926"/>
    <x v="2"/>
    <x v="3"/>
    <x v="3"/>
    <x v="3"/>
    <x v="0"/>
    <n v="420524.11"/>
    <x v="1"/>
    <d v="2023-07-14T00:00:00"/>
    <x v="0"/>
    <n v="1287572.97"/>
    <s v="No"/>
    <x v="9"/>
    <n v="420524.11"/>
    <n v="0"/>
    <x v="1"/>
    <s v="One-Time User"/>
  </r>
  <r>
    <x v="215"/>
    <n v="903080"/>
    <s v="Janani Saxena"/>
    <n v="770477101883"/>
    <x v="3"/>
    <x v="10"/>
    <x v="10"/>
    <x v="2"/>
    <x v="2"/>
    <n v="63923.91"/>
    <x v="0"/>
    <d v="2024-03-16T00:00:00"/>
    <x v="0"/>
    <n v="1027058.02"/>
    <s v="No"/>
    <x v="2"/>
    <n v="63923.91"/>
    <n v="0"/>
    <x v="0"/>
    <s v="One-Time User"/>
  </r>
  <r>
    <x v="216"/>
    <n v="438809"/>
    <s v="Madhavi Sama"/>
    <n v="268345748955"/>
    <x v="1"/>
    <x v="24"/>
    <x v="24"/>
    <x v="0"/>
    <x v="2"/>
    <n v="146930.62"/>
    <x v="1"/>
    <d v="2025-04-23T00:00:00"/>
    <x v="0"/>
    <n v="744892.46"/>
    <s v="No"/>
    <x v="0"/>
    <n v="146930.62"/>
    <n v="0"/>
    <x v="1"/>
    <s v="One-Time User"/>
  </r>
  <r>
    <x v="217"/>
    <n v="521810"/>
    <s v="Advika Sachdev"/>
    <n v="309101241276"/>
    <x v="4"/>
    <x v="14"/>
    <x v="14"/>
    <x v="2"/>
    <x v="1"/>
    <n v="67585.070000000007"/>
    <x v="4"/>
    <d v="2024-10-07T00:00:00"/>
    <x v="2"/>
    <n v="100329.61"/>
    <s v="No"/>
    <x v="6"/>
    <n v="-67585.070000000007"/>
    <n v="0"/>
    <x v="1"/>
    <s v="One-Time User"/>
  </r>
  <r>
    <x v="218"/>
    <n v="727634"/>
    <s v="Chasmum Ganesan"/>
    <n v="543364918707"/>
    <x v="3"/>
    <x v="22"/>
    <x v="22"/>
    <x v="3"/>
    <x v="0"/>
    <n v="72775.399999999994"/>
    <x v="2"/>
    <d v="2024-02-19T00:00:00"/>
    <x v="0"/>
    <n v="1528394.35"/>
    <s v="No"/>
    <x v="15"/>
    <n v="72775.399999999994"/>
    <n v="0"/>
    <x v="1"/>
    <s v="One-Time User"/>
  </r>
  <r>
    <x v="219"/>
    <n v="149140"/>
    <s v="Ayush Pai"/>
    <n v="319552688595"/>
    <x v="0"/>
    <x v="4"/>
    <x v="4"/>
    <x v="2"/>
    <x v="1"/>
    <n v="34703.17"/>
    <x v="4"/>
    <d v="2025-04-18T00:00:00"/>
    <x v="0"/>
    <n v="1244069.3400000001"/>
    <s v="No"/>
    <x v="0"/>
    <n v="-34703.17"/>
    <n v="0"/>
    <x v="1"/>
    <s v="One-Time User"/>
  </r>
  <r>
    <x v="220"/>
    <n v="507147"/>
    <s v="Anthony Bhalla"/>
    <n v="684278087022"/>
    <x v="1"/>
    <x v="18"/>
    <x v="18"/>
    <x v="3"/>
    <x v="2"/>
    <n v="45309.52"/>
    <x v="3"/>
    <d v="2024-01-09T00:00:00"/>
    <x v="2"/>
    <n v="334817.68"/>
    <s v="No"/>
    <x v="23"/>
    <n v="45309.52"/>
    <n v="0"/>
    <x v="1"/>
    <s v="One-Time User"/>
  </r>
  <r>
    <x v="221"/>
    <n v="196451"/>
    <s v="Indrajit Zachariah"/>
    <n v="789357220935"/>
    <x v="3"/>
    <x v="22"/>
    <x v="22"/>
    <x v="0"/>
    <x v="3"/>
    <n v="417377.31"/>
    <x v="4"/>
    <d v="2023-08-16T00:00:00"/>
    <x v="2"/>
    <n v="919157.55"/>
    <s v="No"/>
    <x v="13"/>
    <n v="417377.31"/>
    <n v="0"/>
    <x v="1"/>
    <s v="One-Time User"/>
  </r>
  <r>
    <x v="222"/>
    <n v="881741"/>
    <s v="Abhiram Shah"/>
    <n v="559502587824"/>
    <x v="4"/>
    <x v="15"/>
    <x v="15"/>
    <x v="1"/>
    <x v="3"/>
    <n v="236145.49"/>
    <x v="1"/>
    <d v="2023-07-24T00:00:00"/>
    <x v="0"/>
    <n v="1685483.16"/>
    <s v="No"/>
    <x v="9"/>
    <n v="236145.49"/>
    <n v="0"/>
    <x v="1"/>
    <s v="One-Time User"/>
  </r>
  <r>
    <x v="223"/>
    <n v="441139"/>
    <s v="Arin Venkatesh"/>
    <n v="411549448636"/>
    <x v="2"/>
    <x v="3"/>
    <x v="3"/>
    <x v="3"/>
    <x v="0"/>
    <n v="414000.24"/>
    <x v="3"/>
    <d v="2023-12-10T00:00:00"/>
    <x v="0"/>
    <n v="1924698.42"/>
    <s v="No"/>
    <x v="8"/>
    <n v="414000.24"/>
    <n v="0"/>
    <x v="1"/>
    <s v="One-Time User"/>
  </r>
  <r>
    <x v="224"/>
    <n v="265807"/>
    <s v="Noah Puri"/>
    <n v="720641924691"/>
    <x v="0"/>
    <x v="4"/>
    <x v="4"/>
    <x v="2"/>
    <x v="1"/>
    <n v="40907.24"/>
    <x v="0"/>
    <d v="2024-04-04T00:00:00"/>
    <x v="0"/>
    <n v="284043.40999999997"/>
    <s v="No"/>
    <x v="14"/>
    <n v="-40907.24"/>
    <n v="0"/>
    <x v="0"/>
    <s v="One-Time User"/>
  </r>
  <r>
    <x v="225"/>
    <n v="570485"/>
    <s v="Nilima Dutt"/>
    <n v="773335459822"/>
    <x v="2"/>
    <x v="2"/>
    <x v="2"/>
    <x v="2"/>
    <x v="2"/>
    <n v="230412.57"/>
    <x v="2"/>
    <d v="2024-11-16T00:00:00"/>
    <x v="0"/>
    <n v="1284629.1200000001"/>
    <s v="No"/>
    <x v="16"/>
    <n v="230412.57"/>
    <n v="0"/>
    <x v="1"/>
    <s v="One-Time User"/>
  </r>
  <r>
    <x v="226"/>
    <n v="325170"/>
    <s v="Eta Divan"/>
    <n v="356915330199"/>
    <x v="0"/>
    <x v="11"/>
    <x v="11"/>
    <x v="3"/>
    <x v="3"/>
    <n v="331287.71999999997"/>
    <x v="1"/>
    <d v="2025-07-05T00:00:00"/>
    <x v="0"/>
    <n v="1097203.82"/>
    <s v="No"/>
    <x v="24"/>
    <n v="331287.71999999997"/>
    <n v="0"/>
    <x v="1"/>
    <s v="One-Time User"/>
  </r>
  <r>
    <x v="227"/>
    <n v="533034"/>
    <s v="Darika Rao"/>
    <n v="393607099649"/>
    <x v="3"/>
    <x v="22"/>
    <x v="22"/>
    <x v="0"/>
    <x v="3"/>
    <n v="206178.7"/>
    <x v="4"/>
    <d v="2024-04-16T00:00:00"/>
    <x v="0"/>
    <n v="1251653.83"/>
    <s v="No"/>
    <x v="14"/>
    <n v="206178.7"/>
    <n v="0"/>
    <x v="1"/>
    <s v="One-Time User"/>
  </r>
  <r>
    <x v="228"/>
    <n v="677618"/>
    <s v="Chakradhar Nanda"/>
    <n v="339400232530"/>
    <x v="2"/>
    <x v="16"/>
    <x v="16"/>
    <x v="0"/>
    <x v="0"/>
    <n v="590927.39"/>
    <x v="2"/>
    <d v="2024-05-24T00:00:00"/>
    <x v="0"/>
    <n v="852949.58000000007"/>
    <s v="No"/>
    <x v="7"/>
    <n v="590927.39"/>
    <n v="0"/>
    <x v="1"/>
    <s v="One-Time User"/>
  </r>
  <r>
    <x v="229"/>
    <n v="630575"/>
    <s v="Jeremiah Wason"/>
    <n v="675328116160"/>
    <x v="3"/>
    <x v="21"/>
    <x v="21"/>
    <x v="3"/>
    <x v="3"/>
    <n v="357995.77"/>
    <x v="4"/>
    <d v="2025-01-03T00:00:00"/>
    <x v="0"/>
    <n v="1142710.9099999999"/>
    <s v="No"/>
    <x v="22"/>
    <n v="357995.77"/>
    <n v="0"/>
    <x v="1"/>
    <s v="One-Time User"/>
  </r>
  <r>
    <x v="230"/>
    <n v="661610"/>
    <s v="Aarnav Dey"/>
    <n v="636266180100"/>
    <x v="0"/>
    <x v="5"/>
    <x v="5"/>
    <x v="3"/>
    <x v="2"/>
    <n v="125983.99"/>
    <x v="3"/>
    <d v="2025-06-27T00:00:00"/>
    <x v="2"/>
    <n v="1804511.38"/>
    <s v="No"/>
    <x v="12"/>
    <n v="125983.99"/>
    <n v="0"/>
    <x v="1"/>
    <s v="One-Time User"/>
  </r>
  <r>
    <x v="231"/>
    <n v="275383"/>
    <s v="Kamala Karnik"/>
    <n v="349805921639"/>
    <x v="4"/>
    <x v="12"/>
    <x v="12"/>
    <x v="3"/>
    <x v="3"/>
    <n v="37759.040000000001"/>
    <x v="1"/>
    <d v="2023-12-13T00:00:00"/>
    <x v="0"/>
    <n v="1961954.36"/>
    <s v="No"/>
    <x v="8"/>
    <n v="37759.040000000001"/>
    <n v="0"/>
    <x v="1"/>
    <s v="One-Time User"/>
  </r>
  <r>
    <x v="232"/>
    <n v="674437"/>
    <s v="Falguni Mukhopadhyay"/>
    <n v="966380460400"/>
    <x v="1"/>
    <x v="24"/>
    <x v="24"/>
    <x v="3"/>
    <x v="3"/>
    <n v="470719.47"/>
    <x v="0"/>
    <d v="2023-10-04T00:00:00"/>
    <x v="0"/>
    <n v="1096698.1000000001"/>
    <s v="No"/>
    <x v="1"/>
    <n v="470719.47"/>
    <n v="0"/>
    <x v="0"/>
    <s v="One-Time User"/>
  </r>
  <r>
    <x v="233"/>
    <n v="941406"/>
    <s v="Vincent Kara"/>
    <n v="148789252268"/>
    <x v="3"/>
    <x v="21"/>
    <x v="21"/>
    <x v="2"/>
    <x v="2"/>
    <n v="229396.76"/>
    <x v="2"/>
    <d v="2024-01-04T00:00:00"/>
    <x v="0"/>
    <n v="1119253.7"/>
    <s v="No"/>
    <x v="23"/>
    <n v="229396.76"/>
    <n v="0"/>
    <x v="1"/>
    <s v="One-Time User"/>
  </r>
  <r>
    <x v="234"/>
    <n v="112063"/>
    <s v="Daksh Deep"/>
    <n v="963159668295"/>
    <x v="4"/>
    <x v="15"/>
    <x v="15"/>
    <x v="2"/>
    <x v="2"/>
    <n v="263052.93"/>
    <x v="4"/>
    <d v="2024-03-16T00:00:00"/>
    <x v="3"/>
    <n v="2010231.74"/>
    <s v="Yes"/>
    <x v="2"/>
    <n v="263052.93"/>
    <n v="1"/>
    <x v="1"/>
    <s v="One-Time User"/>
  </r>
  <r>
    <x v="235"/>
    <n v="167371"/>
    <s v="Indrajit Loke"/>
    <n v="265003686340"/>
    <x v="2"/>
    <x v="6"/>
    <x v="6"/>
    <x v="0"/>
    <x v="3"/>
    <n v="343900.3"/>
    <x v="3"/>
    <d v="2024-10-11T00:00:00"/>
    <x v="3"/>
    <n v="1451827.9"/>
    <s v="No"/>
    <x v="6"/>
    <n v="343900.3"/>
    <n v="0"/>
    <x v="1"/>
    <s v="One-Time User"/>
  </r>
  <r>
    <x v="236"/>
    <n v="163530"/>
    <s v="Oni Memon"/>
    <n v="284903006756"/>
    <x v="1"/>
    <x v="18"/>
    <x v="18"/>
    <x v="0"/>
    <x v="3"/>
    <n v="141940.85999999999"/>
    <x v="0"/>
    <d v="2025-07-06T00:00:00"/>
    <x v="1"/>
    <n v="1414350.1"/>
    <s v="No"/>
    <x v="24"/>
    <n v="141940.85999999999"/>
    <n v="0"/>
    <x v="0"/>
    <s v="One-Time User"/>
  </r>
  <r>
    <x v="237"/>
    <n v="450272"/>
    <s v="Rushil Nagarajan"/>
    <n v="193418652788"/>
    <x v="1"/>
    <x v="9"/>
    <x v="9"/>
    <x v="3"/>
    <x v="0"/>
    <n v="541143.80000000005"/>
    <x v="3"/>
    <d v="2025-01-06T00:00:00"/>
    <x v="0"/>
    <n v="1296566.75"/>
    <s v="No"/>
    <x v="22"/>
    <n v="541143.80000000005"/>
    <n v="0"/>
    <x v="1"/>
    <s v="One-Time User"/>
  </r>
  <r>
    <x v="238"/>
    <n v="659251"/>
    <s v="Dhriti Batta"/>
    <n v="431187283506"/>
    <x v="4"/>
    <x v="12"/>
    <x v="12"/>
    <x v="2"/>
    <x v="2"/>
    <n v="12025.06"/>
    <x v="3"/>
    <d v="2024-08-22T00:00:00"/>
    <x v="3"/>
    <n v="1203807.42"/>
    <s v="No"/>
    <x v="4"/>
    <n v="12025.06"/>
    <n v="0"/>
    <x v="1"/>
    <s v="One-Time User"/>
  </r>
  <r>
    <x v="239"/>
    <n v="117469"/>
    <s v="Lakshit Tella"/>
    <n v="145388855042"/>
    <x v="3"/>
    <x v="17"/>
    <x v="17"/>
    <x v="2"/>
    <x v="1"/>
    <n v="55705.38"/>
    <x v="2"/>
    <d v="2024-03-20T00:00:00"/>
    <x v="0"/>
    <n v="1599051.25"/>
    <s v="No"/>
    <x v="2"/>
    <n v="-55705.38"/>
    <n v="0"/>
    <x v="1"/>
    <s v="One-Time User"/>
  </r>
  <r>
    <x v="240"/>
    <n v="725646"/>
    <s v="Simon Bava"/>
    <n v="509479969038"/>
    <x v="1"/>
    <x v="1"/>
    <x v="1"/>
    <x v="3"/>
    <x v="2"/>
    <n v="259407.8"/>
    <x v="0"/>
    <d v="2024-09-21T00:00:00"/>
    <x v="0"/>
    <n v="1568771.1"/>
    <s v="No"/>
    <x v="20"/>
    <n v="259407.8"/>
    <n v="0"/>
    <x v="0"/>
    <s v="One-Time User"/>
  </r>
  <r>
    <x v="241"/>
    <n v="404602"/>
    <s v="Timothy Mitra"/>
    <n v="580561786132"/>
    <x v="3"/>
    <x v="10"/>
    <x v="10"/>
    <x v="0"/>
    <x v="3"/>
    <n v="321922.8"/>
    <x v="4"/>
    <d v="2025-04-29T00:00:00"/>
    <x v="0"/>
    <n v="502408.24"/>
    <s v="No"/>
    <x v="0"/>
    <n v="321922.8"/>
    <n v="0"/>
    <x v="1"/>
    <s v="One-Time User"/>
  </r>
  <r>
    <x v="242"/>
    <n v="725385"/>
    <s v="Yashvi Mammen"/>
    <n v="446588297457"/>
    <x v="3"/>
    <x v="7"/>
    <x v="7"/>
    <x v="2"/>
    <x v="1"/>
    <n v="136269.56"/>
    <x v="2"/>
    <d v="2024-04-21T00:00:00"/>
    <x v="0"/>
    <n v="995454.57999999984"/>
    <s v="No"/>
    <x v="14"/>
    <n v="-136269.56"/>
    <n v="0"/>
    <x v="1"/>
    <s v="One-Time User"/>
  </r>
  <r>
    <x v="243"/>
    <n v="955961"/>
    <s v="Qushi Comar"/>
    <n v="702633425078"/>
    <x v="1"/>
    <x v="18"/>
    <x v="18"/>
    <x v="3"/>
    <x v="2"/>
    <n v="75538.210000000006"/>
    <x v="1"/>
    <d v="2023-11-19T00:00:00"/>
    <x v="0"/>
    <n v="328211.21000000002"/>
    <s v="No"/>
    <x v="11"/>
    <n v="75538.210000000006"/>
    <n v="0"/>
    <x v="1"/>
    <s v="One-Time User"/>
  </r>
  <r>
    <x v="244"/>
    <n v="842640"/>
    <s v="Ekanta Goel"/>
    <n v="380872047716"/>
    <x v="1"/>
    <x v="1"/>
    <x v="1"/>
    <x v="0"/>
    <x v="2"/>
    <n v="153277.59"/>
    <x v="0"/>
    <d v="2025-03-28T00:00:00"/>
    <x v="1"/>
    <n v="1216224.52"/>
    <s v="No"/>
    <x v="18"/>
    <n v="153277.59"/>
    <n v="0"/>
    <x v="0"/>
    <s v="One-Time User"/>
  </r>
  <r>
    <x v="245"/>
    <n v="658891"/>
    <s v="Deepa Om"/>
    <n v="714751372463"/>
    <x v="2"/>
    <x v="8"/>
    <x v="8"/>
    <x v="1"/>
    <x v="0"/>
    <n v="218521.3"/>
    <x v="1"/>
    <d v="2025-05-18T00:00:00"/>
    <x v="0"/>
    <n v="963128.35000000009"/>
    <s v="No"/>
    <x v="19"/>
    <n v="218521.3"/>
    <n v="0"/>
    <x v="1"/>
    <s v="One-Time User"/>
  </r>
  <r>
    <x v="246"/>
    <n v="760603"/>
    <s v="Jyoti Ravi"/>
    <n v="138839456678"/>
    <x v="2"/>
    <x v="6"/>
    <x v="6"/>
    <x v="3"/>
    <x v="2"/>
    <n v="217272.91"/>
    <x v="4"/>
    <d v="2024-11-13T00:00:00"/>
    <x v="0"/>
    <n v="2206115.66"/>
    <s v="No"/>
    <x v="16"/>
    <n v="217272.91"/>
    <n v="0"/>
    <x v="1"/>
    <s v="One-Time User"/>
  </r>
  <r>
    <x v="247"/>
    <n v="433063"/>
    <s v="Ekiya Chhabra"/>
    <n v="288046549982"/>
    <x v="3"/>
    <x v="22"/>
    <x v="22"/>
    <x v="2"/>
    <x v="0"/>
    <n v="143368.07999999999"/>
    <x v="3"/>
    <d v="2023-09-01T00:00:00"/>
    <x v="0"/>
    <n v="1521366.68"/>
    <s v="No"/>
    <x v="21"/>
    <n v="143368.07999999999"/>
    <n v="0"/>
    <x v="1"/>
    <s v="One-Time User"/>
  </r>
  <r>
    <x v="248"/>
    <n v="672763"/>
    <s v="Warhi Hayre"/>
    <n v="387905519517"/>
    <x v="3"/>
    <x v="21"/>
    <x v="21"/>
    <x v="0"/>
    <x v="1"/>
    <n v="130031.31"/>
    <x v="0"/>
    <d v="2024-11-23T00:00:00"/>
    <x v="0"/>
    <n v="429077.61"/>
    <s v="No"/>
    <x v="16"/>
    <n v="-130031.31"/>
    <n v="0"/>
    <x v="0"/>
    <s v="One-Time User"/>
  </r>
  <r>
    <x v="249"/>
    <n v="833709"/>
    <s v="Hemang Khare"/>
    <n v="195214730525"/>
    <x v="2"/>
    <x v="8"/>
    <x v="8"/>
    <x v="0"/>
    <x v="0"/>
    <n v="376737.14"/>
    <x v="3"/>
    <d v="2024-09-25T00:00:00"/>
    <x v="0"/>
    <n v="2046300.22"/>
    <s v="No"/>
    <x v="20"/>
    <n v="376737.14"/>
    <n v="0"/>
    <x v="1"/>
    <s v="One-Time User"/>
  </r>
  <r>
    <x v="250"/>
    <n v="730030"/>
    <s v="Baghyawati Barad"/>
    <n v="937325765058"/>
    <x v="2"/>
    <x v="6"/>
    <x v="6"/>
    <x v="1"/>
    <x v="2"/>
    <n v="32866.42"/>
    <x v="4"/>
    <d v="2024-07-08T00:00:00"/>
    <x v="0"/>
    <n v="1682102.9"/>
    <s v="No"/>
    <x v="10"/>
    <n v="32866.42"/>
    <n v="0"/>
    <x v="1"/>
    <s v="One-Time User"/>
  </r>
  <r>
    <x v="251"/>
    <n v="973241"/>
    <s v="Jeremiah Sekhon"/>
    <n v="387860643996"/>
    <x v="0"/>
    <x v="0"/>
    <x v="0"/>
    <x v="0"/>
    <x v="1"/>
    <n v="7697.03"/>
    <x v="3"/>
    <d v="2024-05-02T00:00:00"/>
    <x v="0"/>
    <n v="1549364.71"/>
    <s v="No"/>
    <x v="7"/>
    <n v="-7697.03"/>
    <n v="0"/>
    <x v="1"/>
    <s v="One-Time User"/>
  </r>
  <r>
    <x v="252"/>
    <n v="700274"/>
    <s v="Andrew Ganesan"/>
    <n v="780371569610"/>
    <x v="0"/>
    <x v="0"/>
    <x v="0"/>
    <x v="3"/>
    <x v="1"/>
    <n v="131363.76999999999"/>
    <x v="0"/>
    <d v="2023-07-11T00:00:00"/>
    <x v="1"/>
    <n v="1790482.77"/>
    <s v="No"/>
    <x v="9"/>
    <n v="-131363.76999999999"/>
    <n v="0"/>
    <x v="0"/>
    <s v="One-Time User"/>
  </r>
  <r>
    <x v="253"/>
    <n v="585434"/>
    <s v="Teerth Thaman"/>
    <n v="422791292913"/>
    <x v="4"/>
    <x v="14"/>
    <x v="14"/>
    <x v="3"/>
    <x v="2"/>
    <n v="197351.19"/>
    <x v="0"/>
    <d v="2024-05-01T00:00:00"/>
    <x v="0"/>
    <n v="735561.71"/>
    <s v="No"/>
    <x v="7"/>
    <n v="197351.19"/>
    <n v="0"/>
    <x v="0"/>
    <s v="One-Time User"/>
  </r>
  <r>
    <x v="254"/>
    <n v="709387"/>
    <s v="Darpan Biswas"/>
    <n v="685617653836"/>
    <x v="0"/>
    <x v="0"/>
    <x v="0"/>
    <x v="0"/>
    <x v="1"/>
    <n v="116639.17"/>
    <x v="3"/>
    <d v="2024-05-04T00:00:00"/>
    <x v="0"/>
    <n v="583495.13"/>
    <s v="No"/>
    <x v="7"/>
    <n v="-116639.17"/>
    <n v="0"/>
    <x v="1"/>
    <s v="One-Time User"/>
  </r>
  <r>
    <x v="255"/>
    <n v="545452"/>
    <s v="Zayyan Naik"/>
    <n v="869888869752"/>
    <x v="2"/>
    <x v="16"/>
    <x v="16"/>
    <x v="0"/>
    <x v="2"/>
    <n v="79661.36"/>
    <x v="0"/>
    <d v="2024-10-12T00:00:00"/>
    <x v="0"/>
    <n v="810409.84"/>
    <s v="No"/>
    <x v="6"/>
    <n v="79661.36"/>
    <n v="0"/>
    <x v="0"/>
    <s v="One-Time User"/>
  </r>
  <r>
    <x v="256"/>
    <n v="809306"/>
    <s v="Aarini Shanker"/>
    <n v="317906843145"/>
    <x v="2"/>
    <x v="3"/>
    <x v="3"/>
    <x v="2"/>
    <x v="1"/>
    <n v="75168.06"/>
    <x v="3"/>
    <d v="2024-09-16T00:00:00"/>
    <x v="0"/>
    <n v="45789.930000000008"/>
    <s v="No"/>
    <x v="20"/>
    <n v="-75168.06"/>
    <n v="0"/>
    <x v="1"/>
    <s v="One-Time User"/>
  </r>
  <r>
    <x v="257"/>
    <n v="411009"/>
    <s v="Lajita Agrawal"/>
    <n v="746074720789"/>
    <x v="3"/>
    <x v="22"/>
    <x v="22"/>
    <x v="1"/>
    <x v="2"/>
    <n v="129733.4"/>
    <x v="1"/>
    <d v="2023-11-22T00:00:00"/>
    <x v="0"/>
    <n v="872645.98"/>
    <s v="No"/>
    <x v="11"/>
    <n v="129733.4"/>
    <n v="0"/>
    <x v="1"/>
    <s v="One-Time User"/>
  </r>
  <r>
    <x v="258"/>
    <n v="704096"/>
    <s v="Siya Narang"/>
    <n v="801626913319"/>
    <x v="4"/>
    <x v="13"/>
    <x v="13"/>
    <x v="3"/>
    <x v="3"/>
    <n v="59283.4"/>
    <x v="4"/>
    <d v="2024-11-06T00:00:00"/>
    <x v="0"/>
    <n v="698051.12"/>
    <s v="No"/>
    <x v="16"/>
    <n v="59283.4"/>
    <n v="0"/>
    <x v="1"/>
    <s v="One-Time User"/>
  </r>
  <r>
    <x v="259"/>
    <n v="430975"/>
    <s v="Lekha Jani"/>
    <n v="552928908176"/>
    <x v="2"/>
    <x v="2"/>
    <x v="2"/>
    <x v="2"/>
    <x v="2"/>
    <n v="157373.9"/>
    <x v="4"/>
    <d v="2023-11-10T00:00:00"/>
    <x v="3"/>
    <n v="519917.55"/>
    <s v="No"/>
    <x v="11"/>
    <n v="157373.9"/>
    <n v="0"/>
    <x v="1"/>
    <s v="One-Time User"/>
  </r>
  <r>
    <x v="260"/>
    <n v="675778"/>
    <s v="Anvi Sarin"/>
    <n v="825799561602"/>
    <x v="2"/>
    <x v="3"/>
    <x v="3"/>
    <x v="3"/>
    <x v="3"/>
    <n v="395398.6"/>
    <x v="3"/>
    <d v="2023-10-15T00:00:00"/>
    <x v="0"/>
    <n v="1093605.24"/>
    <s v="No"/>
    <x v="1"/>
    <n v="395398.6"/>
    <n v="0"/>
    <x v="1"/>
    <s v="One-Time User"/>
  </r>
  <r>
    <x v="261"/>
    <n v="103977"/>
    <s v="Nimrat Patel"/>
    <n v="355613348806"/>
    <x v="4"/>
    <x v="12"/>
    <x v="12"/>
    <x v="3"/>
    <x v="2"/>
    <n v="92274.06"/>
    <x v="2"/>
    <d v="2025-01-09T00:00:00"/>
    <x v="0"/>
    <n v="1309267.04"/>
    <s v="No"/>
    <x v="22"/>
    <n v="92274.06"/>
    <n v="0"/>
    <x v="1"/>
    <s v="One-Time User"/>
  </r>
  <r>
    <x v="262"/>
    <n v="749572"/>
    <s v="Qushi Lanka"/>
    <n v="206600196087"/>
    <x v="3"/>
    <x v="10"/>
    <x v="10"/>
    <x v="3"/>
    <x v="3"/>
    <n v="199776.68"/>
    <x v="0"/>
    <d v="2023-11-10T00:00:00"/>
    <x v="0"/>
    <n v="1633607.23"/>
    <s v="No"/>
    <x v="11"/>
    <n v="199776.68"/>
    <n v="0"/>
    <x v="0"/>
    <s v="One-Time User"/>
  </r>
  <r>
    <x v="263"/>
    <n v="563828"/>
    <s v="Baghyawati Sant"/>
    <n v="124054946791"/>
    <x v="0"/>
    <x v="4"/>
    <x v="4"/>
    <x v="2"/>
    <x v="2"/>
    <n v="284384.93"/>
    <x v="4"/>
    <d v="2024-03-11T00:00:00"/>
    <x v="0"/>
    <n v="840176.1399999999"/>
    <s v="No"/>
    <x v="2"/>
    <n v="284384.93"/>
    <n v="0"/>
    <x v="1"/>
    <s v="One-Time User"/>
  </r>
  <r>
    <x v="264"/>
    <n v="731100"/>
    <s v="Udarsh Yadav"/>
    <n v="262964581056"/>
    <x v="2"/>
    <x v="2"/>
    <x v="2"/>
    <x v="0"/>
    <x v="2"/>
    <n v="98228.26"/>
    <x v="2"/>
    <d v="2024-02-05T00:00:00"/>
    <x v="0"/>
    <n v="642282.19999999995"/>
    <s v="No"/>
    <x v="15"/>
    <n v="98228.26"/>
    <n v="0"/>
    <x v="1"/>
    <s v="One-Time User"/>
  </r>
  <r>
    <x v="265"/>
    <n v="156081"/>
    <s v="Devansh Shanker"/>
    <n v="211489234529"/>
    <x v="1"/>
    <x v="23"/>
    <x v="23"/>
    <x v="1"/>
    <x v="1"/>
    <n v="115176.64"/>
    <x v="1"/>
    <d v="2023-08-01T00:00:00"/>
    <x v="2"/>
    <n v="1728716.25"/>
    <s v="No"/>
    <x v="13"/>
    <n v="-115176.64"/>
    <n v="0"/>
    <x v="1"/>
    <s v="One-Time User"/>
  </r>
  <r>
    <x v="266"/>
    <n v="776252"/>
    <s v="Darpan Dave"/>
    <n v="524989289739"/>
    <x v="3"/>
    <x v="17"/>
    <x v="17"/>
    <x v="3"/>
    <x v="3"/>
    <n v="466320.11"/>
    <x v="0"/>
    <d v="2024-12-20T00:00:00"/>
    <x v="2"/>
    <n v="1960336.41"/>
    <s v="No"/>
    <x v="3"/>
    <n v="466320.11"/>
    <n v="0"/>
    <x v="0"/>
    <s v="One-Time User"/>
  </r>
  <r>
    <x v="267"/>
    <n v="139106"/>
    <s v="Mugdha Bumb"/>
    <n v="475832206582"/>
    <x v="0"/>
    <x v="4"/>
    <x v="4"/>
    <x v="2"/>
    <x v="2"/>
    <n v="200163.67"/>
    <x v="4"/>
    <d v="2023-10-23T00:00:00"/>
    <x v="3"/>
    <n v="415663.7"/>
    <s v="No"/>
    <x v="1"/>
    <n v="200163.67"/>
    <n v="0"/>
    <x v="1"/>
    <s v="One-Time User"/>
  </r>
  <r>
    <x v="268"/>
    <n v="694119"/>
    <s v="Adweta Mitra"/>
    <n v="751228513253"/>
    <x v="3"/>
    <x v="21"/>
    <x v="21"/>
    <x v="1"/>
    <x v="2"/>
    <n v="227121.19"/>
    <x v="1"/>
    <d v="2025-05-15T00:00:00"/>
    <x v="0"/>
    <n v="1348492.26"/>
    <s v="No"/>
    <x v="19"/>
    <n v="227121.19"/>
    <n v="0"/>
    <x v="1"/>
    <s v="One-Time User"/>
  </r>
  <r>
    <x v="269"/>
    <n v="523970"/>
    <s v="Inaya Chhabra"/>
    <n v="152931021324"/>
    <x v="0"/>
    <x v="0"/>
    <x v="0"/>
    <x v="2"/>
    <x v="3"/>
    <n v="369861.85"/>
    <x v="0"/>
    <d v="2024-01-04T00:00:00"/>
    <x v="1"/>
    <n v="1630300.12"/>
    <s v="No"/>
    <x v="23"/>
    <n v="369861.85"/>
    <n v="0"/>
    <x v="0"/>
    <s v="One-Time User"/>
  </r>
  <r>
    <x v="270"/>
    <n v="962182"/>
    <s v="Shaurya Swaminathan"/>
    <n v="943603317916"/>
    <x v="0"/>
    <x v="4"/>
    <x v="4"/>
    <x v="3"/>
    <x v="0"/>
    <n v="381535.21"/>
    <x v="1"/>
    <d v="2025-02-10T00:00:00"/>
    <x v="0"/>
    <n v="1014653.83"/>
    <s v="No"/>
    <x v="17"/>
    <n v="381535.21"/>
    <n v="0"/>
    <x v="1"/>
    <s v="One-Time User"/>
  </r>
  <r>
    <x v="271"/>
    <n v="780928"/>
    <s v="Kabir Hegde"/>
    <n v="491219042136"/>
    <x v="2"/>
    <x v="6"/>
    <x v="6"/>
    <x v="3"/>
    <x v="1"/>
    <n v="4845.92"/>
    <x v="3"/>
    <d v="2023-08-23T00:00:00"/>
    <x v="0"/>
    <n v="1977987.89"/>
    <s v="No"/>
    <x v="13"/>
    <n v="-4845.92"/>
    <n v="0"/>
    <x v="1"/>
    <s v="One-Time User"/>
  </r>
  <r>
    <x v="272"/>
    <n v="421539"/>
    <s v="Tanvi Ahuja"/>
    <n v="298594864896"/>
    <x v="3"/>
    <x v="10"/>
    <x v="10"/>
    <x v="2"/>
    <x v="2"/>
    <n v="205821.35"/>
    <x v="0"/>
    <d v="2025-04-10T00:00:00"/>
    <x v="0"/>
    <n v="1206544.3400000001"/>
    <s v="No"/>
    <x v="0"/>
    <n v="205821.35"/>
    <n v="0"/>
    <x v="0"/>
    <s v="One-Time User"/>
  </r>
  <r>
    <x v="273"/>
    <n v="826365"/>
    <s v="Alexander Nagarajan"/>
    <n v="497519884299"/>
    <x v="0"/>
    <x v="19"/>
    <x v="19"/>
    <x v="0"/>
    <x v="0"/>
    <n v="193788.6"/>
    <x v="4"/>
    <d v="2024-04-20T00:00:00"/>
    <x v="0"/>
    <n v="1163250.32"/>
    <s v="No"/>
    <x v="14"/>
    <n v="193788.6"/>
    <n v="0"/>
    <x v="1"/>
    <s v="One-Time User"/>
  </r>
  <r>
    <x v="274"/>
    <n v="579900"/>
    <s v="Veda Merchant"/>
    <n v="201644180608"/>
    <x v="1"/>
    <x v="18"/>
    <x v="18"/>
    <x v="2"/>
    <x v="1"/>
    <n v="126460.13"/>
    <x v="1"/>
    <d v="2025-02-02T00:00:00"/>
    <x v="0"/>
    <n v="1739088.85"/>
    <s v="No"/>
    <x v="17"/>
    <n v="-126460.13"/>
    <n v="0"/>
    <x v="1"/>
    <s v="One-Time User"/>
  </r>
  <r>
    <x v="275"/>
    <n v="792044"/>
    <s v="Thomas Sidhu"/>
    <n v="608496244258"/>
    <x v="3"/>
    <x v="22"/>
    <x v="22"/>
    <x v="1"/>
    <x v="3"/>
    <n v="272401.31"/>
    <x v="0"/>
    <d v="2025-03-18T00:00:00"/>
    <x v="0"/>
    <n v="1061842.3999999999"/>
    <s v="No"/>
    <x v="18"/>
    <n v="272401.31"/>
    <n v="0"/>
    <x v="0"/>
    <s v="One-Time User"/>
  </r>
  <r>
    <x v="276"/>
    <n v="854536"/>
    <s v="Samuel Chanda"/>
    <n v="533388275492"/>
    <x v="4"/>
    <x v="14"/>
    <x v="14"/>
    <x v="2"/>
    <x v="0"/>
    <n v="584071.86"/>
    <x v="0"/>
    <d v="2023-12-15T00:00:00"/>
    <x v="0"/>
    <n v="981560.64999999991"/>
    <s v="No"/>
    <x v="8"/>
    <n v="584071.86"/>
    <n v="0"/>
    <x v="0"/>
    <s v="One-Time User"/>
  </r>
  <r>
    <x v="277"/>
    <n v="247151"/>
    <s v="Nidhi Jayaraman"/>
    <n v="926782138535"/>
    <x v="1"/>
    <x v="1"/>
    <x v="1"/>
    <x v="3"/>
    <x v="0"/>
    <n v="314411.17"/>
    <x v="2"/>
    <d v="2024-02-14T00:00:00"/>
    <x v="0"/>
    <n v="1156721.3700000001"/>
    <s v="No"/>
    <x v="15"/>
    <n v="314411.17"/>
    <n v="0"/>
    <x v="1"/>
    <s v="One-Time User"/>
  </r>
  <r>
    <x v="278"/>
    <n v="116982"/>
    <s v="Eshana Zachariah"/>
    <n v="123840092510"/>
    <x v="0"/>
    <x v="0"/>
    <x v="0"/>
    <x v="1"/>
    <x v="2"/>
    <n v="11969.71"/>
    <x v="0"/>
    <d v="2024-10-05T00:00:00"/>
    <x v="0"/>
    <n v="501200.97"/>
    <s v="No"/>
    <x v="6"/>
    <n v="11969.71"/>
    <n v="0"/>
    <x v="0"/>
    <s v="One-Time User"/>
  </r>
  <r>
    <x v="279"/>
    <n v="588946"/>
    <s v="Upma Sha"/>
    <n v="171963031441"/>
    <x v="3"/>
    <x v="17"/>
    <x v="17"/>
    <x v="2"/>
    <x v="1"/>
    <n v="116669.04"/>
    <x v="0"/>
    <d v="2023-12-02T00:00:00"/>
    <x v="0"/>
    <n v="1108834.99"/>
    <s v="No"/>
    <x v="8"/>
    <n v="-116669.04"/>
    <n v="0"/>
    <x v="0"/>
    <s v="One-Time User"/>
  </r>
  <r>
    <x v="280"/>
    <n v="316547"/>
    <s v="Ladli Madan"/>
    <n v="641936362459"/>
    <x v="3"/>
    <x v="17"/>
    <x v="17"/>
    <x v="3"/>
    <x v="3"/>
    <n v="443587.6"/>
    <x v="0"/>
    <d v="2024-03-01T00:00:00"/>
    <x v="0"/>
    <n v="1996546.47"/>
    <s v="No"/>
    <x v="2"/>
    <n v="443587.6"/>
    <n v="0"/>
    <x v="0"/>
    <s v="One-Time User"/>
  </r>
  <r>
    <x v="281"/>
    <n v="492092"/>
    <s v="Noah Bawa"/>
    <n v="564967692986"/>
    <x v="1"/>
    <x v="1"/>
    <x v="1"/>
    <x v="1"/>
    <x v="2"/>
    <n v="101848.93"/>
    <x v="1"/>
    <d v="2023-11-13T00:00:00"/>
    <x v="0"/>
    <n v="1018560.23"/>
    <s v="No"/>
    <x v="11"/>
    <n v="101848.93"/>
    <n v="0"/>
    <x v="1"/>
    <s v="One-Time User"/>
  </r>
  <r>
    <x v="282"/>
    <n v="689047"/>
    <s v="Ojasvi Sani"/>
    <n v="494929654093"/>
    <x v="0"/>
    <x v="19"/>
    <x v="19"/>
    <x v="2"/>
    <x v="1"/>
    <n v="10185.450000000001"/>
    <x v="1"/>
    <d v="2024-01-29T00:00:00"/>
    <x v="0"/>
    <n v="659150.17000000004"/>
    <s v="No"/>
    <x v="23"/>
    <n v="-10185.450000000001"/>
    <n v="0"/>
    <x v="1"/>
    <s v="One-Time User"/>
  </r>
  <r>
    <x v="283"/>
    <n v="362079"/>
    <s v="Pranit More"/>
    <n v="119549755173"/>
    <x v="3"/>
    <x v="21"/>
    <x v="21"/>
    <x v="1"/>
    <x v="1"/>
    <n v="1553.42"/>
    <x v="0"/>
    <d v="2024-11-25T00:00:00"/>
    <x v="0"/>
    <n v="1995705.93"/>
    <s v="No"/>
    <x v="16"/>
    <n v="-1553.42"/>
    <n v="0"/>
    <x v="0"/>
    <s v="One-Time User"/>
  </r>
  <r>
    <x v="284"/>
    <n v="856677"/>
    <s v="Netra Puri"/>
    <n v="124406358417"/>
    <x v="1"/>
    <x v="24"/>
    <x v="24"/>
    <x v="1"/>
    <x v="1"/>
    <n v="60785.43"/>
    <x v="3"/>
    <d v="2023-09-20T00:00:00"/>
    <x v="0"/>
    <n v="1643531.92"/>
    <s v="No"/>
    <x v="21"/>
    <n v="-60785.43"/>
    <n v="0"/>
    <x v="1"/>
    <s v="One-Time User"/>
  </r>
  <r>
    <x v="285"/>
    <n v="740300"/>
    <s v="Anmol Bandi"/>
    <n v="994560173406"/>
    <x v="0"/>
    <x v="0"/>
    <x v="0"/>
    <x v="3"/>
    <x v="3"/>
    <n v="26356.89"/>
    <x v="3"/>
    <d v="2024-05-08T00:00:00"/>
    <x v="0"/>
    <n v="2014129.86"/>
    <s v="No"/>
    <x v="7"/>
    <n v="26356.89"/>
    <n v="0"/>
    <x v="1"/>
    <s v="One-Time User"/>
  </r>
  <r>
    <x v="286"/>
    <n v="879380"/>
    <s v="Kiaan Kuruvilla"/>
    <n v="136882903943"/>
    <x v="2"/>
    <x v="16"/>
    <x v="16"/>
    <x v="0"/>
    <x v="3"/>
    <n v="426792.12"/>
    <x v="0"/>
    <d v="2023-12-19T00:00:00"/>
    <x v="0"/>
    <n v="1603328.83"/>
    <s v="No"/>
    <x v="8"/>
    <n v="426792.12"/>
    <n v="0"/>
    <x v="0"/>
    <s v="One-Time User"/>
  </r>
  <r>
    <x v="287"/>
    <n v="801581"/>
    <s v="Nachiket Sarna"/>
    <n v="217777372658"/>
    <x v="0"/>
    <x v="19"/>
    <x v="19"/>
    <x v="3"/>
    <x v="3"/>
    <n v="491742.99"/>
    <x v="0"/>
    <d v="2023-11-25T00:00:00"/>
    <x v="0"/>
    <n v="1035990.72"/>
    <s v="No"/>
    <x v="11"/>
    <n v="491742.99"/>
    <n v="0"/>
    <x v="0"/>
    <s v="One-Time User"/>
  </r>
  <r>
    <x v="288"/>
    <n v="961459"/>
    <s v="Ayushman Nadig"/>
    <n v="437188099042"/>
    <x v="3"/>
    <x v="10"/>
    <x v="10"/>
    <x v="3"/>
    <x v="3"/>
    <n v="189663.01"/>
    <x v="3"/>
    <d v="2023-11-21T00:00:00"/>
    <x v="0"/>
    <n v="1340680.25"/>
    <s v="No"/>
    <x v="11"/>
    <n v="189663.01"/>
    <n v="0"/>
    <x v="1"/>
    <s v="One-Time User"/>
  </r>
  <r>
    <x v="289"/>
    <n v="942595"/>
    <s v="Thomas Sundaram"/>
    <n v="883282254049"/>
    <x v="2"/>
    <x v="8"/>
    <x v="8"/>
    <x v="1"/>
    <x v="2"/>
    <n v="236628.52"/>
    <x v="3"/>
    <d v="2024-09-06T00:00:00"/>
    <x v="0"/>
    <n v="1761005.02"/>
    <s v="No"/>
    <x v="20"/>
    <n v="236628.52"/>
    <n v="0"/>
    <x v="1"/>
    <s v="One-Time User"/>
  </r>
  <r>
    <x v="290"/>
    <n v="775026"/>
    <s v="Gayathri Dugar"/>
    <n v="462284198068"/>
    <x v="4"/>
    <x v="15"/>
    <x v="15"/>
    <x v="1"/>
    <x v="0"/>
    <n v="210645.38"/>
    <x v="2"/>
    <d v="2024-08-10T00:00:00"/>
    <x v="0"/>
    <n v="1621110.9"/>
    <s v="No"/>
    <x v="4"/>
    <n v="210645.38"/>
    <n v="0"/>
    <x v="1"/>
    <s v="One-Time User"/>
  </r>
  <r>
    <x v="291"/>
    <n v="433250"/>
    <s v="Dhriti Chokshi"/>
    <n v="123226173461"/>
    <x v="0"/>
    <x v="19"/>
    <x v="19"/>
    <x v="1"/>
    <x v="0"/>
    <n v="290735.08"/>
    <x v="4"/>
    <d v="2024-02-22T00:00:00"/>
    <x v="0"/>
    <n v="2174884.65"/>
    <s v="No"/>
    <x v="15"/>
    <n v="290735.08"/>
    <n v="0"/>
    <x v="1"/>
    <s v="One-Time User"/>
  </r>
  <r>
    <x v="292"/>
    <n v="363910"/>
    <s v="Lohit Memon"/>
    <n v="677482806646"/>
    <x v="3"/>
    <x v="7"/>
    <x v="7"/>
    <x v="3"/>
    <x v="3"/>
    <n v="56566.32"/>
    <x v="4"/>
    <d v="2024-02-18T00:00:00"/>
    <x v="0"/>
    <n v="1359620.56"/>
    <s v="No"/>
    <x v="15"/>
    <n v="56566.32"/>
    <n v="0"/>
    <x v="1"/>
    <s v="One-Time User"/>
  </r>
  <r>
    <x v="293"/>
    <n v="665314"/>
    <s v="Baghyawati Kale"/>
    <n v="420857447807"/>
    <x v="3"/>
    <x v="7"/>
    <x v="7"/>
    <x v="3"/>
    <x v="1"/>
    <n v="128481.44"/>
    <x v="0"/>
    <d v="2023-10-11T00:00:00"/>
    <x v="0"/>
    <n v="1180805.3799999999"/>
    <s v="No"/>
    <x v="1"/>
    <n v="-128481.44"/>
    <n v="0"/>
    <x v="0"/>
    <s v="One-Time User"/>
  </r>
  <r>
    <x v="294"/>
    <n v="560593"/>
    <s v="Anya Dasgupta"/>
    <n v="242581856250"/>
    <x v="0"/>
    <x v="5"/>
    <x v="5"/>
    <x v="2"/>
    <x v="3"/>
    <n v="342352.78"/>
    <x v="3"/>
    <d v="2024-04-06T00:00:00"/>
    <x v="0"/>
    <n v="1571656.18"/>
    <s v="No"/>
    <x v="14"/>
    <n v="342352.78"/>
    <n v="0"/>
    <x v="1"/>
    <s v="One-Time User"/>
  </r>
  <r>
    <x v="295"/>
    <n v="818431"/>
    <s v="Umang Dutt"/>
    <n v="134008821990"/>
    <x v="0"/>
    <x v="4"/>
    <x v="4"/>
    <x v="3"/>
    <x v="1"/>
    <n v="85345.93"/>
    <x v="2"/>
    <d v="2024-05-31T00:00:00"/>
    <x v="0"/>
    <n v="1748371.94"/>
    <s v="Yes"/>
    <x v="7"/>
    <n v="-85345.93"/>
    <n v="1"/>
    <x v="1"/>
    <s v="One-Time User"/>
  </r>
  <r>
    <x v="296"/>
    <n v="866770"/>
    <s v="Meghana Vasa"/>
    <n v="151051425844"/>
    <x v="3"/>
    <x v="17"/>
    <x v="17"/>
    <x v="1"/>
    <x v="2"/>
    <n v="79519.039999999994"/>
    <x v="1"/>
    <d v="2025-04-06T00:00:00"/>
    <x v="0"/>
    <n v="723530.21000000008"/>
    <s v="No"/>
    <x v="0"/>
    <n v="79519.039999999994"/>
    <n v="0"/>
    <x v="1"/>
    <s v="One-Time User"/>
  </r>
  <r>
    <x v="297"/>
    <n v="372542"/>
    <s v="Urvi Ganesan"/>
    <n v="289947365975"/>
    <x v="1"/>
    <x v="1"/>
    <x v="1"/>
    <x v="2"/>
    <x v="0"/>
    <n v="158595.54999999999"/>
    <x v="1"/>
    <d v="2024-07-06T00:00:00"/>
    <x v="0"/>
    <n v="1973122.34"/>
    <s v="No"/>
    <x v="10"/>
    <n v="158595.54999999999"/>
    <n v="0"/>
    <x v="1"/>
    <s v="One-Time User"/>
  </r>
  <r>
    <x v="298"/>
    <n v="953804"/>
    <s v="Yahvi Nori"/>
    <n v="241139363334"/>
    <x v="1"/>
    <x v="23"/>
    <x v="23"/>
    <x v="2"/>
    <x v="3"/>
    <n v="97285.9"/>
    <x v="2"/>
    <d v="2024-05-14T00:00:00"/>
    <x v="0"/>
    <n v="1096499.6100000001"/>
    <s v="No"/>
    <x v="7"/>
    <n v="97285.9"/>
    <n v="0"/>
    <x v="1"/>
    <s v="One-Time User"/>
  </r>
  <r>
    <x v="299"/>
    <n v="916955"/>
    <s v="Raghav Lata"/>
    <n v="635029319031"/>
    <x v="3"/>
    <x v="7"/>
    <x v="7"/>
    <x v="1"/>
    <x v="3"/>
    <n v="126634.62"/>
    <x v="1"/>
    <d v="2024-09-24T00:00:00"/>
    <x v="0"/>
    <n v="1183803.32"/>
    <s v="No"/>
    <x v="20"/>
    <n v="126634.62"/>
    <n v="0"/>
    <x v="1"/>
    <s v="One-Time User"/>
  </r>
  <r>
    <x v="300"/>
    <n v="977193"/>
    <s v="Darpan Bose"/>
    <n v="268490351527"/>
    <x v="4"/>
    <x v="13"/>
    <x v="13"/>
    <x v="0"/>
    <x v="1"/>
    <n v="21877.29"/>
    <x v="4"/>
    <d v="2025-04-30T00:00:00"/>
    <x v="0"/>
    <n v="1159209.6200000001"/>
    <s v="No"/>
    <x v="0"/>
    <n v="-21877.29"/>
    <n v="0"/>
    <x v="1"/>
    <s v="One-Time User"/>
  </r>
  <r>
    <x v="301"/>
    <n v="432558"/>
    <s v="Meghana Chaudhry"/>
    <n v="584318320202"/>
    <x v="4"/>
    <x v="14"/>
    <x v="14"/>
    <x v="1"/>
    <x v="0"/>
    <n v="252929.01"/>
    <x v="3"/>
    <d v="2025-06-24T00:00:00"/>
    <x v="0"/>
    <n v="2184054.12"/>
    <s v="No"/>
    <x v="12"/>
    <n v="252929.01"/>
    <n v="0"/>
    <x v="1"/>
    <s v="One-Time User"/>
  </r>
  <r>
    <x v="302"/>
    <n v="240903"/>
    <s v="Damini Mammen"/>
    <n v="139932947699"/>
    <x v="3"/>
    <x v="17"/>
    <x v="17"/>
    <x v="2"/>
    <x v="1"/>
    <n v="25588.29"/>
    <x v="0"/>
    <d v="2024-09-21T00:00:00"/>
    <x v="0"/>
    <n v="1359400.18"/>
    <s v="No"/>
    <x v="20"/>
    <n v="-25588.29"/>
    <n v="0"/>
    <x v="0"/>
    <s v="One-Time User"/>
  </r>
  <r>
    <x v="303"/>
    <n v="155800"/>
    <s v="Tarak Chahal"/>
    <n v="172987559056"/>
    <x v="1"/>
    <x v="18"/>
    <x v="18"/>
    <x v="2"/>
    <x v="3"/>
    <n v="488550.1"/>
    <x v="4"/>
    <d v="2025-03-09T00:00:00"/>
    <x v="0"/>
    <n v="1782974.75"/>
    <s v="No"/>
    <x v="18"/>
    <n v="488550.1"/>
    <n v="0"/>
    <x v="1"/>
    <s v="One-Time User"/>
  </r>
  <r>
    <x v="304"/>
    <n v="288231"/>
    <s v="Sathvik Banerjee"/>
    <n v="275740728802"/>
    <x v="1"/>
    <x v="23"/>
    <x v="23"/>
    <x v="1"/>
    <x v="0"/>
    <n v="95620.89"/>
    <x v="1"/>
    <d v="2025-04-23T00:00:00"/>
    <x v="0"/>
    <n v="1185408.31"/>
    <s v="No"/>
    <x v="0"/>
    <n v="95620.89"/>
    <n v="0"/>
    <x v="1"/>
    <s v="One-Time User"/>
  </r>
  <r>
    <x v="305"/>
    <n v="990243"/>
    <s v="Nakul Shan"/>
    <n v="549737898101"/>
    <x v="4"/>
    <x v="20"/>
    <x v="20"/>
    <x v="1"/>
    <x v="2"/>
    <n v="201991.8"/>
    <x v="4"/>
    <d v="2024-04-09T00:00:00"/>
    <x v="0"/>
    <n v="1661830.21"/>
    <s v="No"/>
    <x v="14"/>
    <n v="201991.8"/>
    <n v="0"/>
    <x v="1"/>
    <s v="One-Time User"/>
  </r>
  <r>
    <x v="306"/>
    <n v="311363"/>
    <s v="Gaurangi Chaudhry"/>
    <n v="985206008802"/>
    <x v="2"/>
    <x v="3"/>
    <x v="3"/>
    <x v="2"/>
    <x v="0"/>
    <n v="460250.13"/>
    <x v="4"/>
    <d v="2024-03-20T00:00:00"/>
    <x v="0"/>
    <n v="1506146.94"/>
    <s v="Yes"/>
    <x v="2"/>
    <n v="460250.13"/>
    <n v="1"/>
    <x v="1"/>
    <s v="One-Time User"/>
  </r>
  <r>
    <x v="307"/>
    <n v="462822"/>
    <s v="Bachittar Palla"/>
    <n v="119278894333"/>
    <x v="0"/>
    <x v="4"/>
    <x v="4"/>
    <x v="1"/>
    <x v="3"/>
    <n v="13160.06"/>
    <x v="0"/>
    <d v="2025-02-21T00:00:00"/>
    <x v="0"/>
    <n v="1579591.09"/>
    <s v="No"/>
    <x v="17"/>
    <n v="13160.06"/>
    <n v="0"/>
    <x v="0"/>
    <s v="One-Time User"/>
  </r>
  <r>
    <x v="308"/>
    <n v="712345"/>
    <s v="Neel Bali"/>
    <n v="279271808282"/>
    <x v="2"/>
    <x v="2"/>
    <x v="2"/>
    <x v="0"/>
    <x v="0"/>
    <n v="525074.59"/>
    <x v="0"/>
    <d v="2024-01-24T00:00:00"/>
    <x v="0"/>
    <n v="938423.33"/>
    <s v="No"/>
    <x v="23"/>
    <n v="525074.59"/>
    <n v="0"/>
    <x v="0"/>
    <s v="One-Time User"/>
  </r>
  <r>
    <x v="309"/>
    <n v="113883"/>
    <s v="Advika Mall"/>
    <n v="823851213066"/>
    <x v="2"/>
    <x v="2"/>
    <x v="2"/>
    <x v="3"/>
    <x v="2"/>
    <n v="124890"/>
    <x v="3"/>
    <d v="2024-07-04T00:00:00"/>
    <x v="0"/>
    <n v="431745.3"/>
    <s v="No"/>
    <x v="10"/>
    <n v="124890"/>
    <n v="0"/>
    <x v="1"/>
    <s v="One-Time User"/>
  </r>
  <r>
    <x v="310"/>
    <n v="339747"/>
    <s v="Kai Pandya"/>
    <n v="702582639068"/>
    <x v="3"/>
    <x v="22"/>
    <x v="22"/>
    <x v="0"/>
    <x v="3"/>
    <n v="96128.29"/>
    <x v="4"/>
    <d v="2024-03-27T00:00:00"/>
    <x v="0"/>
    <n v="311631.5"/>
    <s v="No"/>
    <x v="2"/>
    <n v="96128.29"/>
    <n v="0"/>
    <x v="1"/>
    <s v="One-Time User"/>
  </r>
  <r>
    <x v="311"/>
    <n v="124171"/>
    <s v="Chatresh Issac"/>
    <n v="103490076984"/>
    <x v="4"/>
    <x v="13"/>
    <x v="13"/>
    <x v="3"/>
    <x v="2"/>
    <n v="78134.240000000005"/>
    <x v="0"/>
    <d v="2024-10-30T00:00:00"/>
    <x v="0"/>
    <n v="1325069.24"/>
    <s v="No"/>
    <x v="6"/>
    <n v="78134.240000000005"/>
    <n v="0"/>
    <x v="0"/>
    <s v="One-Time User"/>
  </r>
  <r>
    <x v="312"/>
    <n v="805755"/>
    <s v="Jai Choudhry"/>
    <n v="490291230378"/>
    <x v="4"/>
    <x v="20"/>
    <x v="20"/>
    <x v="1"/>
    <x v="0"/>
    <n v="112622.64"/>
    <x v="4"/>
    <d v="2024-02-10T00:00:00"/>
    <x v="1"/>
    <n v="1684299.3"/>
    <s v="No"/>
    <x v="15"/>
    <n v="112622.64"/>
    <n v="0"/>
    <x v="1"/>
    <s v="One-Time User"/>
  </r>
  <r>
    <x v="313"/>
    <n v="596468"/>
    <s v="Omya Parsa"/>
    <n v="772077329179"/>
    <x v="3"/>
    <x v="10"/>
    <x v="10"/>
    <x v="1"/>
    <x v="3"/>
    <n v="406595"/>
    <x v="3"/>
    <d v="2024-10-11T00:00:00"/>
    <x v="0"/>
    <n v="585059.64"/>
    <s v="No"/>
    <x v="6"/>
    <n v="406595"/>
    <n v="0"/>
    <x v="1"/>
    <s v="One-Time User"/>
  </r>
  <r>
    <x v="314"/>
    <n v="111146"/>
    <s v="Aadhya Sagar"/>
    <n v="555859409829"/>
    <x v="4"/>
    <x v="15"/>
    <x v="15"/>
    <x v="2"/>
    <x v="1"/>
    <n v="67907.710000000006"/>
    <x v="0"/>
    <d v="2025-06-21T00:00:00"/>
    <x v="0"/>
    <n v="400650.52"/>
    <s v="No"/>
    <x v="12"/>
    <n v="-67907.710000000006"/>
    <n v="0"/>
    <x v="0"/>
    <s v="One-Time User"/>
  </r>
  <r>
    <x v="315"/>
    <n v="479530"/>
    <s v="Rachana Radhakrishnan"/>
    <n v="724249667582"/>
    <x v="4"/>
    <x v="13"/>
    <x v="13"/>
    <x v="2"/>
    <x v="1"/>
    <n v="7625.81"/>
    <x v="1"/>
    <d v="2024-03-23T00:00:00"/>
    <x v="0"/>
    <n v="788581.85"/>
    <s v="No"/>
    <x v="2"/>
    <n v="-7625.81"/>
    <n v="0"/>
    <x v="1"/>
    <s v="One-Time User"/>
  </r>
  <r>
    <x v="316"/>
    <n v="937519"/>
    <s v="Abhimanyu Khalsa"/>
    <n v="902094706216"/>
    <x v="3"/>
    <x v="21"/>
    <x v="21"/>
    <x v="1"/>
    <x v="0"/>
    <n v="24749.02"/>
    <x v="2"/>
    <d v="2025-02-20T00:00:00"/>
    <x v="0"/>
    <n v="239240.66"/>
    <s v="No"/>
    <x v="17"/>
    <n v="24749.02"/>
    <n v="0"/>
    <x v="1"/>
    <s v="One-Time User"/>
  </r>
  <r>
    <x v="317"/>
    <n v="557246"/>
    <s v="Rayaan Bhattacharyya"/>
    <n v="565539620553"/>
    <x v="0"/>
    <x v="0"/>
    <x v="0"/>
    <x v="3"/>
    <x v="1"/>
    <n v="46462.29"/>
    <x v="4"/>
    <d v="2024-11-12T00:00:00"/>
    <x v="0"/>
    <n v="1272270"/>
    <s v="No"/>
    <x v="16"/>
    <n v="-46462.29"/>
    <n v="0"/>
    <x v="1"/>
    <s v="One-Time User"/>
  </r>
  <r>
    <x v="318"/>
    <n v="959323"/>
    <s v="Varenya Dhaliwal"/>
    <n v="432335197720"/>
    <x v="1"/>
    <x v="18"/>
    <x v="18"/>
    <x v="0"/>
    <x v="3"/>
    <n v="306121.71000000002"/>
    <x v="3"/>
    <d v="2024-02-16T00:00:00"/>
    <x v="0"/>
    <n v="648457.01"/>
    <s v="No"/>
    <x v="15"/>
    <n v="306121.71000000002"/>
    <n v="0"/>
    <x v="1"/>
    <s v="One-Time User"/>
  </r>
  <r>
    <x v="319"/>
    <n v="931835"/>
    <s v="Aachal Mann"/>
    <n v="130206487294"/>
    <x v="2"/>
    <x v="8"/>
    <x v="8"/>
    <x v="2"/>
    <x v="1"/>
    <n v="26846.38"/>
    <x v="1"/>
    <d v="2025-02-28T00:00:00"/>
    <x v="0"/>
    <n v="278385.8"/>
    <s v="No"/>
    <x v="17"/>
    <n v="-26846.38"/>
    <n v="0"/>
    <x v="1"/>
    <s v="One-Time User"/>
  </r>
  <r>
    <x v="320"/>
    <n v="181715"/>
    <s v="Umang Gokhale"/>
    <n v="924632714359"/>
    <x v="0"/>
    <x v="0"/>
    <x v="0"/>
    <x v="1"/>
    <x v="0"/>
    <n v="181640.7"/>
    <x v="4"/>
    <d v="2024-09-02T00:00:00"/>
    <x v="0"/>
    <n v="458407.24"/>
    <s v="No"/>
    <x v="20"/>
    <n v="181640.7"/>
    <n v="0"/>
    <x v="1"/>
    <s v="One-Time User"/>
  </r>
  <r>
    <x v="321"/>
    <n v="300670"/>
    <s v="Amaira Shankar"/>
    <n v="477182324308"/>
    <x v="4"/>
    <x v="13"/>
    <x v="13"/>
    <x v="3"/>
    <x v="3"/>
    <n v="17763.02"/>
    <x v="4"/>
    <d v="2024-05-01T00:00:00"/>
    <x v="0"/>
    <n v="841969.9"/>
    <s v="No"/>
    <x v="7"/>
    <n v="17763.02"/>
    <n v="0"/>
    <x v="1"/>
    <s v="One-Time User"/>
  </r>
  <r>
    <x v="322"/>
    <n v="405161"/>
    <s v="Ishani Uppal"/>
    <n v="476384442388"/>
    <x v="4"/>
    <x v="14"/>
    <x v="14"/>
    <x v="2"/>
    <x v="0"/>
    <n v="367978.86"/>
    <x v="0"/>
    <d v="2023-11-18T00:00:00"/>
    <x v="0"/>
    <n v="840788.77"/>
    <s v="No"/>
    <x v="11"/>
    <n v="367978.86"/>
    <n v="0"/>
    <x v="0"/>
    <s v="One-Time User"/>
  </r>
  <r>
    <x v="323"/>
    <n v="981665"/>
    <s v="Vasana Dhar"/>
    <n v="126907120490"/>
    <x v="2"/>
    <x v="16"/>
    <x v="16"/>
    <x v="1"/>
    <x v="0"/>
    <n v="212325.1"/>
    <x v="0"/>
    <d v="2025-04-14T00:00:00"/>
    <x v="0"/>
    <n v="1118140.79"/>
    <s v="No"/>
    <x v="0"/>
    <n v="212325.1"/>
    <n v="0"/>
    <x v="0"/>
    <s v="One-Time User"/>
  </r>
  <r>
    <x v="324"/>
    <n v="355753"/>
    <s v="Aradhana Parmar"/>
    <n v="882143942859"/>
    <x v="0"/>
    <x v="11"/>
    <x v="11"/>
    <x v="0"/>
    <x v="1"/>
    <n v="47698.28"/>
    <x v="1"/>
    <d v="2024-05-22T00:00:00"/>
    <x v="0"/>
    <n v="642724.73"/>
    <s v="No"/>
    <x v="7"/>
    <n v="-47698.28"/>
    <n v="0"/>
    <x v="1"/>
    <s v="One-Time User"/>
  </r>
  <r>
    <x v="325"/>
    <n v="159266"/>
    <s v="Divya Din"/>
    <n v="133268629842"/>
    <x v="1"/>
    <x v="9"/>
    <x v="9"/>
    <x v="3"/>
    <x v="2"/>
    <n v="163974.37"/>
    <x v="0"/>
    <d v="2024-11-22T00:00:00"/>
    <x v="0"/>
    <n v="2009108.15"/>
    <s v="No"/>
    <x v="16"/>
    <n v="163974.37"/>
    <n v="0"/>
    <x v="0"/>
    <s v="One-Time User"/>
  </r>
  <r>
    <x v="326"/>
    <n v="879301"/>
    <s v="Charan Borra"/>
    <n v="433805514591"/>
    <x v="2"/>
    <x v="3"/>
    <x v="3"/>
    <x v="2"/>
    <x v="0"/>
    <n v="189190.47"/>
    <x v="2"/>
    <d v="2024-11-03T00:00:00"/>
    <x v="0"/>
    <n v="1036192.27"/>
    <s v="No"/>
    <x v="16"/>
    <n v="189190.47"/>
    <n v="0"/>
    <x v="1"/>
    <s v="One-Time User"/>
  </r>
  <r>
    <x v="327"/>
    <n v="116476"/>
    <s v="Rishi Lanka"/>
    <n v="406498403510"/>
    <x v="4"/>
    <x v="20"/>
    <x v="20"/>
    <x v="1"/>
    <x v="3"/>
    <n v="129890.57"/>
    <x v="0"/>
    <d v="2024-11-02T00:00:00"/>
    <x v="0"/>
    <n v="1438950.54"/>
    <s v="No"/>
    <x v="16"/>
    <n v="129890.57"/>
    <n v="0"/>
    <x v="0"/>
    <s v="One-Time User"/>
  </r>
  <r>
    <x v="328"/>
    <n v="981915"/>
    <s v="Anthony Balakrishnan"/>
    <n v="577554548613"/>
    <x v="1"/>
    <x v="18"/>
    <x v="18"/>
    <x v="1"/>
    <x v="2"/>
    <n v="254514.65"/>
    <x v="3"/>
    <d v="2023-08-15T00:00:00"/>
    <x v="0"/>
    <n v="318461.15000000002"/>
    <s v="No"/>
    <x v="13"/>
    <n v="254514.65"/>
    <n v="0"/>
    <x v="1"/>
    <s v="One-Time User"/>
  </r>
  <r>
    <x v="329"/>
    <n v="569629"/>
    <s v="Naveen Sachdeva"/>
    <n v="884210811039"/>
    <x v="3"/>
    <x v="21"/>
    <x v="21"/>
    <x v="1"/>
    <x v="1"/>
    <n v="95419.02"/>
    <x v="4"/>
    <d v="2023-09-16T00:00:00"/>
    <x v="0"/>
    <n v="167769.03"/>
    <s v="No"/>
    <x v="21"/>
    <n v="-95419.02"/>
    <n v="0"/>
    <x v="1"/>
    <s v="One-Time User"/>
  </r>
  <r>
    <x v="330"/>
    <n v="143218"/>
    <s v="Rudra Ravel"/>
    <n v="428200261572"/>
    <x v="2"/>
    <x v="16"/>
    <x v="16"/>
    <x v="2"/>
    <x v="1"/>
    <n v="58414.13"/>
    <x v="4"/>
    <d v="2025-06-27T00:00:00"/>
    <x v="0"/>
    <n v="918862.34"/>
    <s v="No"/>
    <x v="12"/>
    <n v="-58414.13"/>
    <n v="0"/>
    <x v="1"/>
    <s v="One-Time User"/>
  </r>
  <r>
    <x v="331"/>
    <n v="985381"/>
    <s v="Krish Nagy"/>
    <n v="113639393827"/>
    <x v="4"/>
    <x v="14"/>
    <x v="14"/>
    <x v="1"/>
    <x v="3"/>
    <n v="469814.95"/>
    <x v="3"/>
    <d v="2023-07-24T00:00:00"/>
    <x v="1"/>
    <n v="1904176.83"/>
    <s v="No"/>
    <x v="9"/>
    <n v="469814.95"/>
    <n v="0"/>
    <x v="1"/>
    <s v="One-Time User"/>
  </r>
  <r>
    <x v="332"/>
    <n v="894517"/>
    <s v="Udant Pau"/>
    <n v="633651930756"/>
    <x v="1"/>
    <x v="24"/>
    <x v="24"/>
    <x v="0"/>
    <x v="3"/>
    <n v="202988.35"/>
    <x v="2"/>
    <d v="2023-12-08T00:00:00"/>
    <x v="0"/>
    <n v="1426448.54"/>
    <s v="No"/>
    <x v="8"/>
    <n v="202988.35"/>
    <n v="0"/>
    <x v="1"/>
    <s v="One-Time User"/>
  </r>
  <r>
    <x v="333"/>
    <n v="179518"/>
    <s v="Kalpit Prabhakar"/>
    <n v="388268391021"/>
    <x v="2"/>
    <x v="6"/>
    <x v="6"/>
    <x v="1"/>
    <x v="1"/>
    <n v="68829.84"/>
    <x v="1"/>
    <d v="2025-02-17T00:00:00"/>
    <x v="0"/>
    <n v="5539.5400000000081"/>
    <s v="No"/>
    <x v="17"/>
    <n v="-68829.84"/>
    <n v="0"/>
    <x v="1"/>
    <s v="One-Time User"/>
  </r>
  <r>
    <x v="334"/>
    <n v="224498"/>
    <s v="Lakshmi Batra"/>
    <n v="600039500647"/>
    <x v="1"/>
    <x v="1"/>
    <x v="1"/>
    <x v="2"/>
    <x v="0"/>
    <n v="276312.31"/>
    <x v="2"/>
    <d v="2024-12-18T00:00:00"/>
    <x v="0"/>
    <n v="696392.16999999993"/>
    <s v="No"/>
    <x v="3"/>
    <n v="276312.31"/>
    <n v="0"/>
    <x v="1"/>
    <s v="One-Time User"/>
  </r>
  <r>
    <x v="335"/>
    <n v="373993"/>
    <s v="Balhaar Suri"/>
    <n v="434312755539"/>
    <x v="4"/>
    <x v="14"/>
    <x v="14"/>
    <x v="1"/>
    <x v="1"/>
    <n v="7769.1"/>
    <x v="1"/>
    <d v="2025-01-29T00:00:00"/>
    <x v="0"/>
    <n v="89554.579999999987"/>
    <s v="No"/>
    <x v="22"/>
    <n v="-7769.1"/>
    <n v="0"/>
    <x v="1"/>
    <s v="One-Time User"/>
  </r>
  <r>
    <x v="336"/>
    <n v="445390"/>
    <s v="Adweta Rastogi"/>
    <n v="834906079344"/>
    <x v="3"/>
    <x v="22"/>
    <x v="22"/>
    <x v="0"/>
    <x v="0"/>
    <n v="496927.6"/>
    <x v="4"/>
    <d v="2025-06-10T00:00:00"/>
    <x v="0"/>
    <n v="1643914.5"/>
    <s v="No"/>
    <x v="12"/>
    <n v="496927.6"/>
    <n v="0"/>
    <x v="1"/>
    <s v="One-Time User"/>
  </r>
  <r>
    <x v="337"/>
    <n v="392598"/>
    <s v="Gavin Sinha"/>
    <n v="507228613971"/>
    <x v="4"/>
    <x v="14"/>
    <x v="14"/>
    <x v="0"/>
    <x v="1"/>
    <n v="26907.46"/>
    <x v="4"/>
    <d v="2025-01-22T00:00:00"/>
    <x v="0"/>
    <n v="1359303.82"/>
    <s v="No"/>
    <x v="22"/>
    <n v="-26907.46"/>
    <n v="0"/>
    <x v="1"/>
    <s v="One-Time User"/>
  </r>
  <r>
    <x v="338"/>
    <n v="627322"/>
    <s v="Tristan Bera"/>
    <n v="197653048874"/>
    <x v="4"/>
    <x v="20"/>
    <x v="20"/>
    <x v="1"/>
    <x v="3"/>
    <n v="381840.68"/>
    <x v="3"/>
    <d v="2024-09-13T00:00:00"/>
    <x v="1"/>
    <n v="1996331.03"/>
    <s v="No"/>
    <x v="20"/>
    <n v="381840.68"/>
    <n v="0"/>
    <x v="1"/>
    <s v="One-Time User"/>
  </r>
  <r>
    <x v="339"/>
    <n v="674507"/>
    <s v="Vasatika Bhandari"/>
    <n v="365343466726"/>
    <x v="2"/>
    <x v="8"/>
    <x v="8"/>
    <x v="3"/>
    <x v="2"/>
    <n v="123684.75"/>
    <x v="0"/>
    <d v="2024-03-25T00:00:00"/>
    <x v="0"/>
    <n v="355220.47999999998"/>
    <s v="No"/>
    <x v="2"/>
    <n v="123684.75"/>
    <n v="0"/>
    <x v="0"/>
    <s v="One-Time User"/>
  </r>
  <r>
    <x v="340"/>
    <n v="572980"/>
    <s v="Jagvi Pillay"/>
    <n v="184613706984"/>
    <x v="3"/>
    <x v="21"/>
    <x v="21"/>
    <x v="3"/>
    <x v="2"/>
    <n v="78611.759999999995"/>
    <x v="0"/>
    <d v="2024-04-19T00:00:00"/>
    <x v="2"/>
    <n v="1631486.44"/>
    <s v="No"/>
    <x v="14"/>
    <n v="78611.759999999995"/>
    <n v="0"/>
    <x v="0"/>
    <s v="One-Time User"/>
  </r>
  <r>
    <x v="341"/>
    <n v="364377"/>
    <s v="Manbir Loyal"/>
    <n v="669037054253"/>
    <x v="1"/>
    <x v="9"/>
    <x v="9"/>
    <x v="2"/>
    <x v="1"/>
    <n v="121347.74"/>
    <x v="3"/>
    <d v="2025-01-23T00:00:00"/>
    <x v="2"/>
    <n v="108426.39"/>
    <s v="No"/>
    <x v="22"/>
    <n v="-121347.74"/>
    <n v="0"/>
    <x v="1"/>
    <s v="One-Time User"/>
  </r>
  <r>
    <x v="342"/>
    <n v="989898"/>
    <s v="Banjeet Kadakia"/>
    <n v="304809259360"/>
    <x v="1"/>
    <x v="23"/>
    <x v="23"/>
    <x v="0"/>
    <x v="1"/>
    <n v="51703.81"/>
    <x v="3"/>
    <d v="2024-10-28T00:00:00"/>
    <x v="0"/>
    <n v="641168.51"/>
    <s v="No"/>
    <x v="6"/>
    <n v="-51703.81"/>
    <n v="0"/>
    <x v="1"/>
    <s v="One-Time User"/>
  </r>
  <r>
    <x v="343"/>
    <n v="390792"/>
    <s v="Dhriti Dasgupta"/>
    <n v="815931680958"/>
    <x v="0"/>
    <x v="4"/>
    <x v="4"/>
    <x v="1"/>
    <x v="2"/>
    <n v="163533.1"/>
    <x v="3"/>
    <d v="2025-01-22T00:00:00"/>
    <x v="0"/>
    <n v="1859589.9"/>
    <s v="No"/>
    <x v="22"/>
    <n v="163533.1"/>
    <n v="0"/>
    <x v="1"/>
    <s v="One-Time User"/>
  </r>
  <r>
    <x v="344"/>
    <n v="409468"/>
    <s v="Balhaar Chadha"/>
    <n v="385357726132"/>
    <x v="1"/>
    <x v="23"/>
    <x v="23"/>
    <x v="0"/>
    <x v="2"/>
    <n v="273026.71000000002"/>
    <x v="0"/>
    <d v="2024-06-30T00:00:00"/>
    <x v="0"/>
    <n v="639598.09000000008"/>
    <s v="No"/>
    <x v="5"/>
    <n v="273026.71000000002"/>
    <n v="0"/>
    <x v="0"/>
    <s v="One-Time User"/>
  </r>
  <r>
    <x v="345"/>
    <n v="980642"/>
    <s v="Brinda Korpal"/>
    <n v="100768524152"/>
    <x v="2"/>
    <x v="2"/>
    <x v="2"/>
    <x v="3"/>
    <x v="2"/>
    <n v="7411.04"/>
    <x v="3"/>
    <d v="2023-08-18T00:00:00"/>
    <x v="0"/>
    <n v="1595355.14"/>
    <s v="No"/>
    <x v="13"/>
    <n v="7411.04"/>
    <n v="0"/>
    <x v="1"/>
    <s v="One-Time User"/>
  </r>
  <r>
    <x v="346"/>
    <n v="547953"/>
    <s v="Rudra Dhar"/>
    <n v="284180983285"/>
    <x v="1"/>
    <x v="1"/>
    <x v="1"/>
    <x v="2"/>
    <x v="1"/>
    <n v="4390.57"/>
    <x v="2"/>
    <d v="2024-03-13T00:00:00"/>
    <x v="0"/>
    <n v="404938.51"/>
    <s v="No"/>
    <x v="2"/>
    <n v="-4390.57"/>
    <n v="0"/>
    <x v="1"/>
    <s v="One-Time User"/>
  </r>
  <r>
    <x v="347"/>
    <n v="740305"/>
    <s v="Chanchal Trivedi"/>
    <n v="242642960021"/>
    <x v="1"/>
    <x v="24"/>
    <x v="24"/>
    <x v="3"/>
    <x v="3"/>
    <n v="256573.7"/>
    <x v="1"/>
    <d v="2023-08-11T00:00:00"/>
    <x v="2"/>
    <n v="1215289.54"/>
    <s v="No"/>
    <x v="13"/>
    <n v="256573.7"/>
    <n v="0"/>
    <x v="1"/>
    <s v="One-Time User"/>
  </r>
  <r>
    <x v="348"/>
    <n v="427894"/>
    <s v="Laksh Hayre"/>
    <n v="870186363718"/>
    <x v="4"/>
    <x v="14"/>
    <x v="14"/>
    <x v="2"/>
    <x v="2"/>
    <n v="192646.23"/>
    <x v="4"/>
    <d v="2025-02-15T00:00:00"/>
    <x v="0"/>
    <n v="1958117.95"/>
    <s v="No"/>
    <x v="17"/>
    <n v="192646.23"/>
    <n v="0"/>
    <x v="1"/>
    <s v="One-Time User"/>
  </r>
  <r>
    <x v="349"/>
    <n v="586706"/>
    <s v="Lekha Sanghvi"/>
    <n v="386125421772"/>
    <x v="3"/>
    <x v="21"/>
    <x v="21"/>
    <x v="1"/>
    <x v="2"/>
    <n v="245014.75"/>
    <x v="3"/>
    <d v="2024-01-30T00:00:00"/>
    <x v="0"/>
    <n v="1896528.53"/>
    <s v="No"/>
    <x v="23"/>
    <n v="245014.75"/>
    <n v="0"/>
    <x v="1"/>
    <s v="One-Time User"/>
  </r>
  <r>
    <x v="350"/>
    <n v="684987"/>
    <s v="Anjali Sha"/>
    <n v="462363293377"/>
    <x v="3"/>
    <x v="10"/>
    <x v="10"/>
    <x v="1"/>
    <x v="3"/>
    <n v="498754.84"/>
    <x v="0"/>
    <d v="2023-12-05T00:00:00"/>
    <x v="0"/>
    <n v="1284513.78"/>
    <s v="No"/>
    <x v="8"/>
    <n v="498754.84"/>
    <n v="0"/>
    <x v="0"/>
    <s v="One-Time User"/>
  </r>
  <r>
    <x v="351"/>
    <n v="718664"/>
    <s v="Pooja Dhawan"/>
    <n v="283341172763"/>
    <x v="2"/>
    <x v="3"/>
    <x v="3"/>
    <x v="1"/>
    <x v="2"/>
    <n v="223897.88"/>
    <x v="0"/>
    <d v="2024-05-06T00:00:00"/>
    <x v="0"/>
    <n v="1081271.3899999999"/>
    <s v="No"/>
    <x v="7"/>
    <n v="223897.88"/>
    <n v="0"/>
    <x v="0"/>
    <s v="One-Time User"/>
  </r>
  <r>
    <x v="352"/>
    <n v="361462"/>
    <s v="Kamya Devan"/>
    <n v="605459164624"/>
    <x v="3"/>
    <x v="21"/>
    <x v="21"/>
    <x v="0"/>
    <x v="1"/>
    <n v="133808.04"/>
    <x v="1"/>
    <d v="2024-11-22T00:00:00"/>
    <x v="0"/>
    <n v="1345738.11"/>
    <s v="No"/>
    <x v="16"/>
    <n v="-133808.04"/>
    <n v="0"/>
    <x v="1"/>
    <s v="One-Time User"/>
  </r>
  <r>
    <x v="353"/>
    <n v="633665"/>
    <s v="Damyanti Sem"/>
    <n v="198565706740"/>
    <x v="2"/>
    <x v="8"/>
    <x v="8"/>
    <x v="2"/>
    <x v="1"/>
    <n v="45421.34"/>
    <x v="3"/>
    <d v="2024-05-31T00:00:00"/>
    <x v="0"/>
    <n v="821237.76000000001"/>
    <s v="No"/>
    <x v="7"/>
    <n v="-45421.34"/>
    <n v="0"/>
    <x v="1"/>
    <s v="One-Time User"/>
  </r>
  <r>
    <x v="354"/>
    <n v="894189"/>
    <s v="Jagat Palan"/>
    <n v="261191347516"/>
    <x v="4"/>
    <x v="14"/>
    <x v="14"/>
    <x v="0"/>
    <x v="0"/>
    <n v="172113.86"/>
    <x v="3"/>
    <d v="2023-07-22T00:00:00"/>
    <x v="0"/>
    <n v="896946.19"/>
    <s v="No"/>
    <x v="9"/>
    <n v="172113.86"/>
    <n v="0"/>
    <x v="1"/>
    <s v="One-Time User"/>
  </r>
  <r>
    <x v="355"/>
    <n v="475202"/>
    <s v="Nathan Ramanathan"/>
    <n v="263661783529"/>
    <x v="4"/>
    <x v="20"/>
    <x v="20"/>
    <x v="0"/>
    <x v="1"/>
    <n v="78597.94"/>
    <x v="0"/>
    <d v="2025-02-26T00:00:00"/>
    <x v="0"/>
    <n v="1132144.31"/>
    <s v="No"/>
    <x v="17"/>
    <n v="-78597.94"/>
    <n v="0"/>
    <x v="0"/>
    <s v="One-Time User"/>
  </r>
  <r>
    <x v="356"/>
    <n v="853516"/>
    <s v="Pranit Kota"/>
    <n v="909642409332"/>
    <x v="2"/>
    <x v="3"/>
    <x v="3"/>
    <x v="1"/>
    <x v="2"/>
    <n v="2034.23"/>
    <x v="2"/>
    <d v="2024-12-15T00:00:00"/>
    <x v="1"/>
    <n v="1179384.8799999999"/>
    <s v="No"/>
    <x v="3"/>
    <n v="2034.23"/>
    <n v="0"/>
    <x v="1"/>
    <s v="One-Time User"/>
  </r>
  <r>
    <x v="357"/>
    <n v="150512"/>
    <s v="Vasatika Bali"/>
    <n v="947252500435"/>
    <x v="3"/>
    <x v="17"/>
    <x v="17"/>
    <x v="2"/>
    <x v="1"/>
    <n v="145852.56"/>
    <x v="0"/>
    <d v="2024-12-23T00:00:00"/>
    <x v="0"/>
    <n v="1802050.86"/>
    <s v="No"/>
    <x v="3"/>
    <n v="-145852.56"/>
    <n v="0"/>
    <x v="0"/>
    <s v="One-Time User"/>
  </r>
  <r>
    <x v="358"/>
    <n v="114174"/>
    <s v="Pranav Sastry"/>
    <n v="503389519825"/>
    <x v="3"/>
    <x v="17"/>
    <x v="17"/>
    <x v="1"/>
    <x v="0"/>
    <n v="505150.86"/>
    <x v="3"/>
    <d v="2023-07-17T00:00:00"/>
    <x v="0"/>
    <n v="1521144.43"/>
    <s v="No"/>
    <x v="9"/>
    <n v="505150.86"/>
    <n v="0"/>
    <x v="1"/>
    <s v="One-Time User"/>
  </r>
  <r>
    <x v="359"/>
    <n v="815415"/>
    <s v="Niharika Deo"/>
    <n v="707425693401"/>
    <x v="1"/>
    <x v="18"/>
    <x v="18"/>
    <x v="0"/>
    <x v="2"/>
    <n v="263485.11"/>
    <x v="3"/>
    <d v="2025-05-28T00:00:00"/>
    <x v="0"/>
    <n v="772198.29"/>
    <s v="No"/>
    <x v="19"/>
    <n v="263485.11"/>
    <n v="0"/>
    <x v="1"/>
    <s v="One-Time User"/>
  </r>
  <r>
    <x v="360"/>
    <n v="332907"/>
    <s v="Yashvi Tiwari"/>
    <n v="775725282488"/>
    <x v="0"/>
    <x v="4"/>
    <x v="4"/>
    <x v="3"/>
    <x v="3"/>
    <n v="477061.46"/>
    <x v="1"/>
    <d v="2024-06-07T00:00:00"/>
    <x v="0"/>
    <n v="943250.81"/>
    <s v="Yes"/>
    <x v="5"/>
    <n v="477061.46"/>
    <n v="1"/>
    <x v="1"/>
    <s v="One-Time User"/>
  </r>
  <r>
    <x v="361"/>
    <n v="888086"/>
    <s v="Harinakshi Sarin"/>
    <n v="396619643095"/>
    <x v="0"/>
    <x v="0"/>
    <x v="0"/>
    <x v="0"/>
    <x v="1"/>
    <n v="89540.74"/>
    <x v="0"/>
    <d v="2025-03-11T00:00:00"/>
    <x v="0"/>
    <n v="1430531.1"/>
    <s v="No"/>
    <x v="18"/>
    <n v="-89540.74"/>
    <n v="0"/>
    <x v="0"/>
    <s v="One-Time User"/>
  </r>
  <r>
    <x v="362"/>
    <n v="344715"/>
    <s v="Quincy Lata"/>
    <n v="662042689096"/>
    <x v="4"/>
    <x v="20"/>
    <x v="20"/>
    <x v="3"/>
    <x v="0"/>
    <n v="377204.37"/>
    <x v="2"/>
    <d v="2024-08-20T00:00:00"/>
    <x v="0"/>
    <n v="1214932.99"/>
    <s v="No"/>
    <x v="4"/>
    <n v="377204.37"/>
    <n v="0"/>
    <x v="1"/>
    <s v="One-Time User"/>
  </r>
  <r>
    <x v="363"/>
    <n v="475616"/>
    <s v="Alexander Bhasin"/>
    <n v="174971552064"/>
    <x v="3"/>
    <x v="22"/>
    <x v="22"/>
    <x v="0"/>
    <x v="2"/>
    <n v="5600"/>
    <x v="3"/>
    <d v="2025-05-27T00:00:00"/>
    <x v="0"/>
    <n v="341311.75"/>
    <s v="No"/>
    <x v="19"/>
    <n v="5600"/>
    <n v="0"/>
    <x v="1"/>
    <s v="One-Time User"/>
  </r>
  <r>
    <x v="364"/>
    <n v="219887"/>
    <s v="Baghyawati Dhar"/>
    <n v="718917028742"/>
    <x v="4"/>
    <x v="13"/>
    <x v="13"/>
    <x v="1"/>
    <x v="2"/>
    <n v="218817.69"/>
    <x v="3"/>
    <d v="2025-06-27T00:00:00"/>
    <x v="1"/>
    <n v="343750.94"/>
    <s v="No"/>
    <x v="12"/>
    <n v="218817.69"/>
    <n v="0"/>
    <x v="1"/>
    <s v="One-Time User"/>
  </r>
  <r>
    <x v="365"/>
    <n v="374263"/>
    <s v="Amaira Kumer"/>
    <n v="676729996656"/>
    <x v="4"/>
    <x v="12"/>
    <x v="12"/>
    <x v="1"/>
    <x v="3"/>
    <n v="332941.88"/>
    <x v="0"/>
    <d v="2024-02-20T00:00:00"/>
    <x v="0"/>
    <n v="1594009.73"/>
    <s v="No"/>
    <x v="15"/>
    <n v="332941.88"/>
    <n v="0"/>
    <x v="0"/>
    <s v="One-Time User"/>
  </r>
  <r>
    <x v="366"/>
    <n v="223924"/>
    <s v="Widisha Sharaf"/>
    <n v="667714778462"/>
    <x v="2"/>
    <x v="2"/>
    <x v="2"/>
    <x v="2"/>
    <x v="3"/>
    <n v="103224.63"/>
    <x v="0"/>
    <d v="2023-07-12T00:00:00"/>
    <x v="0"/>
    <n v="770321.19000000006"/>
    <s v="No"/>
    <x v="9"/>
    <n v="103224.63"/>
    <n v="0"/>
    <x v="0"/>
    <s v="One-Time User"/>
  </r>
  <r>
    <x v="367"/>
    <n v="539350"/>
    <s v="Tanveer Amble"/>
    <n v="733606955563"/>
    <x v="1"/>
    <x v="23"/>
    <x v="23"/>
    <x v="1"/>
    <x v="3"/>
    <n v="82653.77"/>
    <x v="3"/>
    <d v="2025-06-11T00:00:00"/>
    <x v="0"/>
    <n v="1028818.01"/>
    <s v="No"/>
    <x v="12"/>
    <n v="82653.77"/>
    <n v="0"/>
    <x v="1"/>
    <s v="One-Time User"/>
  </r>
  <r>
    <x v="368"/>
    <n v="405648"/>
    <s v="Balveer Mitra"/>
    <n v="360522614619"/>
    <x v="0"/>
    <x v="11"/>
    <x v="11"/>
    <x v="1"/>
    <x v="1"/>
    <n v="78021.990000000005"/>
    <x v="2"/>
    <d v="2024-01-21T00:00:00"/>
    <x v="0"/>
    <n v="370202.29"/>
    <s v="No"/>
    <x v="23"/>
    <n v="-78021.990000000005"/>
    <n v="0"/>
    <x v="1"/>
    <s v="One-Time User"/>
  </r>
  <r>
    <x v="369"/>
    <n v="479949"/>
    <s v="Ekani Tandon"/>
    <n v="175860036084"/>
    <x v="1"/>
    <x v="23"/>
    <x v="23"/>
    <x v="2"/>
    <x v="1"/>
    <n v="27892.53"/>
    <x v="1"/>
    <d v="2024-08-15T00:00:00"/>
    <x v="0"/>
    <n v="1226681.8400000001"/>
    <s v="No"/>
    <x v="4"/>
    <n v="-27892.53"/>
    <n v="0"/>
    <x v="1"/>
    <s v="One-Time User"/>
  </r>
  <r>
    <x v="370"/>
    <n v="387939"/>
    <s v="Kavya Sharaf"/>
    <n v="260103738581"/>
    <x v="1"/>
    <x v="9"/>
    <x v="9"/>
    <x v="0"/>
    <x v="1"/>
    <n v="19862"/>
    <x v="4"/>
    <d v="2025-05-27T00:00:00"/>
    <x v="3"/>
    <n v="932608.28"/>
    <s v="No"/>
    <x v="19"/>
    <n v="-19862"/>
    <n v="0"/>
    <x v="1"/>
    <s v="One-Time User"/>
  </r>
  <r>
    <x v="371"/>
    <n v="529371"/>
    <s v="Anmol Uppal"/>
    <n v="696398414197"/>
    <x v="2"/>
    <x v="2"/>
    <x v="2"/>
    <x v="0"/>
    <x v="1"/>
    <n v="78464.289999999994"/>
    <x v="2"/>
    <d v="2023-09-07T00:00:00"/>
    <x v="0"/>
    <n v="1563610.66"/>
    <s v="No"/>
    <x v="21"/>
    <n v="-78464.289999999994"/>
    <n v="0"/>
    <x v="1"/>
    <s v="One-Time User"/>
  </r>
  <r>
    <x v="372"/>
    <n v="990194"/>
    <s v="Xavier Basu"/>
    <n v="493757512103"/>
    <x v="2"/>
    <x v="6"/>
    <x v="6"/>
    <x v="3"/>
    <x v="1"/>
    <n v="142933.76999999999"/>
    <x v="0"/>
    <d v="2023-09-12T00:00:00"/>
    <x v="0"/>
    <n v="1697109.27"/>
    <s v="No"/>
    <x v="21"/>
    <n v="-142933.76999999999"/>
    <n v="0"/>
    <x v="0"/>
    <s v="One-Time User"/>
  </r>
  <r>
    <x v="373"/>
    <n v="970064"/>
    <s v="Owen Bedi"/>
    <n v="653060642611"/>
    <x v="2"/>
    <x v="2"/>
    <x v="2"/>
    <x v="3"/>
    <x v="3"/>
    <n v="151050.63"/>
    <x v="4"/>
    <d v="2024-03-29T00:00:00"/>
    <x v="2"/>
    <n v="1211040.1100000001"/>
    <s v="Yes"/>
    <x v="2"/>
    <n v="151050.63"/>
    <n v="1"/>
    <x v="1"/>
    <s v="One-Time User"/>
  </r>
  <r>
    <x v="374"/>
    <n v="466409"/>
    <s v="Eiravati Seshadri"/>
    <n v="881453879458"/>
    <x v="4"/>
    <x v="12"/>
    <x v="12"/>
    <x v="3"/>
    <x v="0"/>
    <n v="87369.06"/>
    <x v="2"/>
    <d v="2025-03-10T00:00:00"/>
    <x v="0"/>
    <n v="523219.45"/>
    <s v="No"/>
    <x v="18"/>
    <n v="87369.06"/>
    <n v="0"/>
    <x v="1"/>
    <s v="One-Time User"/>
  </r>
  <r>
    <x v="375"/>
    <n v="691233"/>
    <s v="Henry Nigam"/>
    <n v="591674302857"/>
    <x v="3"/>
    <x v="22"/>
    <x v="22"/>
    <x v="1"/>
    <x v="0"/>
    <n v="466117.12"/>
    <x v="3"/>
    <d v="2025-01-08T00:00:00"/>
    <x v="0"/>
    <n v="559077.69999999995"/>
    <s v="No"/>
    <x v="22"/>
    <n v="466117.12"/>
    <n v="0"/>
    <x v="1"/>
    <s v="One-Time User"/>
  </r>
  <r>
    <x v="376"/>
    <n v="923020"/>
    <s v="Hemani Dutta"/>
    <n v="989318539943"/>
    <x v="1"/>
    <x v="24"/>
    <x v="24"/>
    <x v="3"/>
    <x v="3"/>
    <n v="352951.84"/>
    <x v="0"/>
    <d v="2024-11-16T00:00:00"/>
    <x v="1"/>
    <n v="1563217.64"/>
    <s v="No"/>
    <x v="16"/>
    <n v="352951.84"/>
    <n v="0"/>
    <x v="0"/>
    <s v="One-Time User"/>
  </r>
  <r>
    <x v="377"/>
    <n v="690626"/>
    <s v="Yasti Nayak"/>
    <n v="223709347082"/>
    <x v="3"/>
    <x v="7"/>
    <x v="7"/>
    <x v="2"/>
    <x v="2"/>
    <n v="119830.79"/>
    <x v="3"/>
    <d v="2023-11-11T00:00:00"/>
    <x v="0"/>
    <n v="1196217.07"/>
    <s v="No"/>
    <x v="11"/>
    <n v="119830.79"/>
    <n v="0"/>
    <x v="1"/>
    <s v="One-Time User"/>
  </r>
  <r>
    <x v="378"/>
    <n v="459550"/>
    <s v="Balendra Dalal"/>
    <n v="798399336730"/>
    <x v="2"/>
    <x v="6"/>
    <x v="6"/>
    <x v="1"/>
    <x v="3"/>
    <n v="186576.31"/>
    <x v="3"/>
    <d v="2024-01-03T00:00:00"/>
    <x v="0"/>
    <n v="2009292.64"/>
    <s v="No"/>
    <x v="23"/>
    <n v="186576.31"/>
    <n v="0"/>
    <x v="1"/>
    <s v="One-Time User"/>
  </r>
  <r>
    <x v="379"/>
    <n v="954780"/>
    <s v="Lekha Karnik"/>
    <n v="791330814917"/>
    <x v="0"/>
    <x v="19"/>
    <x v="19"/>
    <x v="1"/>
    <x v="2"/>
    <n v="189202.98"/>
    <x v="0"/>
    <d v="2025-05-10T00:00:00"/>
    <x v="0"/>
    <n v="1137529.71"/>
    <s v="No"/>
    <x v="19"/>
    <n v="189202.98"/>
    <n v="0"/>
    <x v="0"/>
    <s v="One-Time User"/>
  </r>
  <r>
    <x v="380"/>
    <n v="171459"/>
    <s v="Brinda Desai"/>
    <n v="135190882700"/>
    <x v="0"/>
    <x v="0"/>
    <x v="0"/>
    <x v="0"/>
    <x v="2"/>
    <n v="102192.65"/>
    <x v="3"/>
    <d v="2023-11-07T00:00:00"/>
    <x v="0"/>
    <n v="564240.30999999994"/>
    <s v="No"/>
    <x v="11"/>
    <n v="102192.65"/>
    <n v="0"/>
    <x v="1"/>
    <s v="One-Time User"/>
  </r>
  <r>
    <x v="381"/>
    <n v="568881"/>
    <s v="Elijah Basak"/>
    <n v="470200000951"/>
    <x v="0"/>
    <x v="0"/>
    <x v="0"/>
    <x v="0"/>
    <x v="1"/>
    <n v="20767.88"/>
    <x v="1"/>
    <d v="2024-06-06T00:00:00"/>
    <x v="0"/>
    <n v="1654884.72"/>
    <s v="No"/>
    <x v="5"/>
    <n v="-20767.88"/>
    <n v="0"/>
    <x v="1"/>
    <s v="One-Time User"/>
  </r>
  <r>
    <x v="382"/>
    <n v="179714"/>
    <s v="Barkha Naidu"/>
    <n v="501001062311"/>
    <x v="2"/>
    <x v="3"/>
    <x v="3"/>
    <x v="1"/>
    <x v="1"/>
    <n v="84312.88"/>
    <x v="3"/>
    <d v="2025-02-09T00:00:00"/>
    <x v="0"/>
    <n v="812688.42"/>
    <s v="No"/>
    <x v="17"/>
    <n v="-84312.88"/>
    <n v="0"/>
    <x v="1"/>
    <s v="One-Time User"/>
  </r>
  <r>
    <x v="383"/>
    <n v="507234"/>
    <s v="Yachana Mitra"/>
    <n v="878851872657"/>
    <x v="4"/>
    <x v="14"/>
    <x v="14"/>
    <x v="2"/>
    <x v="0"/>
    <n v="50275.6"/>
    <x v="3"/>
    <d v="2023-08-30T00:00:00"/>
    <x v="0"/>
    <n v="957657.80999999994"/>
    <s v="No"/>
    <x v="13"/>
    <n v="50275.6"/>
    <n v="0"/>
    <x v="1"/>
    <s v="One-Time User"/>
  </r>
  <r>
    <x v="384"/>
    <n v="943899"/>
    <s v="Raksha Kari"/>
    <n v="474125754877"/>
    <x v="4"/>
    <x v="13"/>
    <x v="13"/>
    <x v="1"/>
    <x v="0"/>
    <n v="59673.87"/>
    <x v="4"/>
    <d v="2024-05-03T00:00:00"/>
    <x v="0"/>
    <n v="2031243.6"/>
    <s v="No"/>
    <x v="7"/>
    <n v="59673.87"/>
    <n v="0"/>
    <x v="1"/>
    <s v="One-Time User"/>
  </r>
  <r>
    <x v="385"/>
    <n v="722523"/>
    <s v="Ikshita Kakar"/>
    <n v="498653114225"/>
    <x v="0"/>
    <x v="11"/>
    <x v="11"/>
    <x v="1"/>
    <x v="0"/>
    <n v="332407.67"/>
    <x v="3"/>
    <d v="2024-11-20T00:00:00"/>
    <x v="0"/>
    <n v="455920.87"/>
    <s v="No"/>
    <x v="16"/>
    <n v="332407.67"/>
    <n v="0"/>
    <x v="1"/>
    <s v="One-Time User"/>
  </r>
  <r>
    <x v="386"/>
    <n v="427315"/>
    <s v="Gaurika Bora"/>
    <n v="638707911830"/>
    <x v="0"/>
    <x v="4"/>
    <x v="4"/>
    <x v="0"/>
    <x v="3"/>
    <n v="350133.78"/>
    <x v="4"/>
    <d v="2025-02-02T00:00:00"/>
    <x v="0"/>
    <n v="1597588.23"/>
    <s v="No"/>
    <x v="17"/>
    <n v="350133.78"/>
    <n v="0"/>
    <x v="1"/>
    <s v="One-Time User"/>
  </r>
  <r>
    <x v="387"/>
    <n v="528399"/>
    <s v="Aachal Dugar"/>
    <n v="255848490692"/>
    <x v="3"/>
    <x v="10"/>
    <x v="10"/>
    <x v="3"/>
    <x v="1"/>
    <n v="23309.68"/>
    <x v="4"/>
    <d v="2024-12-06T00:00:00"/>
    <x v="0"/>
    <n v="1385627.33"/>
    <s v="No"/>
    <x v="3"/>
    <n v="-23309.68"/>
    <n v="0"/>
    <x v="1"/>
    <s v="One-Time User"/>
  </r>
  <r>
    <x v="388"/>
    <n v="464910"/>
    <s v="Anjali Goel"/>
    <n v="539041777767"/>
    <x v="2"/>
    <x v="2"/>
    <x v="2"/>
    <x v="1"/>
    <x v="2"/>
    <n v="286156.07"/>
    <x v="1"/>
    <d v="2024-09-13T00:00:00"/>
    <x v="2"/>
    <n v="563593.56000000006"/>
    <s v="No"/>
    <x v="20"/>
    <n v="286156.07"/>
    <n v="0"/>
    <x v="1"/>
    <s v="One-Time User"/>
  </r>
  <r>
    <x v="389"/>
    <n v="524813"/>
    <s v="Fitan Sane"/>
    <n v="845243604313"/>
    <x v="4"/>
    <x v="20"/>
    <x v="20"/>
    <x v="3"/>
    <x v="0"/>
    <n v="363834.7"/>
    <x v="1"/>
    <d v="2023-09-03T00:00:00"/>
    <x v="0"/>
    <n v="1065625.76"/>
    <s v="No"/>
    <x v="21"/>
    <n v="363834.7"/>
    <n v="0"/>
    <x v="1"/>
    <s v="One-Time User"/>
  </r>
  <r>
    <x v="390"/>
    <n v="530475"/>
    <s v="Anusha Vora"/>
    <n v="810813549197"/>
    <x v="1"/>
    <x v="24"/>
    <x v="24"/>
    <x v="1"/>
    <x v="0"/>
    <n v="138404.46"/>
    <x v="3"/>
    <d v="2023-10-16T00:00:00"/>
    <x v="0"/>
    <n v="254646.03"/>
    <s v="No"/>
    <x v="1"/>
    <n v="138404.46"/>
    <n v="0"/>
    <x v="1"/>
    <s v="One-Time User"/>
  </r>
  <r>
    <x v="391"/>
    <n v="842079"/>
    <s v="Dayita Ramaswamy"/>
    <n v="185744473826"/>
    <x v="4"/>
    <x v="12"/>
    <x v="12"/>
    <x v="2"/>
    <x v="3"/>
    <n v="174088.39"/>
    <x v="4"/>
    <d v="2024-10-11T00:00:00"/>
    <x v="0"/>
    <n v="913093.72"/>
    <s v="No"/>
    <x v="6"/>
    <n v="174088.39"/>
    <n v="0"/>
    <x v="1"/>
    <s v="One-Time User"/>
  </r>
  <r>
    <x v="392"/>
    <n v="316483"/>
    <s v="Nitesh Dixit"/>
    <n v="370264472621"/>
    <x v="3"/>
    <x v="22"/>
    <x v="22"/>
    <x v="0"/>
    <x v="3"/>
    <n v="17664.689999999999"/>
    <x v="3"/>
    <d v="2025-04-21T00:00:00"/>
    <x v="0"/>
    <n v="192599.89"/>
    <s v="No"/>
    <x v="0"/>
    <n v="17664.689999999999"/>
    <n v="0"/>
    <x v="1"/>
    <s v="One-Time User"/>
  </r>
  <r>
    <x v="393"/>
    <n v="167811"/>
    <s v="Urmi Mand"/>
    <n v="268731699044"/>
    <x v="4"/>
    <x v="15"/>
    <x v="15"/>
    <x v="2"/>
    <x v="3"/>
    <n v="35630.32"/>
    <x v="0"/>
    <d v="2023-09-30T00:00:00"/>
    <x v="0"/>
    <n v="972098.69"/>
    <s v="No"/>
    <x v="21"/>
    <n v="35630.32"/>
    <n v="0"/>
    <x v="0"/>
    <s v="One-Time User"/>
  </r>
  <r>
    <x v="394"/>
    <n v="734296"/>
    <s v="Nikita Bahl"/>
    <n v="929691446167"/>
    <x v="0"/>
    <x v="0"/>
    <x v="0"/>
    <x v="2"/>
    <x v="3"/>
    <n v="373735.38"/>
    <x v="3"/>
    <d v="2024-04-18T00:00:00"/>
    <x v="0"/>
    <n v="562280.92000000004"/>
    <s v="No"/>
    <x v="14"/>
    <n v="373735.38"/>
    <n v="0"/>
    <x v="1"/>
    <s v="One-Time User"/>
  </r>
  <r>
    <x v="395"/>
    <n v="807933"/>
    <s v="Krishna Sangha"/>
    <n v="137391799979"/>
    <x v="2"/>
    <x v="8"/>
    <x v="8"/>
    <x v="0"/>
    <x v="2"/>
    <n v="274709.48"/>
    <x v="3"/>
    <d v="2025-01-08T00:00:00"/>
    <x v="0"/>
    <n v="827374.07999999996"/>
    <s v="No"/>
    <x v="22"/>
    <n v="274709.48"/>
    <n v="0"/>
    <x v="1"/>
    <s v="One-Time User"/>
  </r>
  <r>
    <x v="396"/>
    <n v="595797"/>
    <s v="Geetika Dewan"/>
    <n v="206574366417"/>
    <x v="3"/>
    <x v="21"/>
    <x v="21"/>
    <x v="1"/>
    <x v="1"/>
    <n v="47207.39"/>
    <x v="1"/>
    <d v="2025-01-24T00:00:00"/>
    <x v="0"/>
    <n v="1330535.8400000001"/>
    <s v="No"/>
    <x v="22"/>
    <n v="-47207.39"/>
    <n v="0"/>
    <x v="1"/>
    <s v="One-Time User"/>
  </r>
  <r>
    <x v="397"/>
    <n v="638327"/>
    <s v="Triya Tailor"/>
    <n v="886848235656"/>
    <x v="3"/>
    <x v="17"/>
    <x v="17"/>
    <x v="0"/>
    <x v="2"/>
    <n v="53920.36"/>
    <x v="3"/>
    <d v="2024-02-25T00:00:00"/>
    <x v="0"/>
    <n v="557423.14"/>
    <s v="No"/>
    <x v="15"/>
    <n v="53920.36"/>
    <n v="0"/>
    <x v="1"/>
    <s v="One-Time User"/>
  </r>
  <r>
    <x v="398"/>
    <n v="154017"/>
    <s v="Vedhika Kaur"/>
    <n v="399275894137"/>
    <x v="3"/>
    <x v="17"/>
    <x v="17"/>
    <x v="1"/>
    <x v="2"/>
    <n v="10220.280000000001"/>
    <x v="4"/>
    <d v="2023-12-19T00:00:00"/>
    <x v="0"/>
    <n v="1490511.61"/>
    <s v="No"/>
    <x v="8"/>
    <n v="10220.280000000001"/>
    <n v="0"/>
    <x v="1"/>
    <s v="One-Time User"/>
  </r>
  <r>
    <x v="399"/>
    <n v="764808"/>
    <s v="Chanchal Sundaram"/>
    <n v="790847728908"/>
    <x v="4"/>
    <x v="13"/>
    <x v="13"/>
    <x v="0"/>
    <x v="2"/>
    <n v="206210.04"/>
    <x v="3"/>
    <d v="2025-01-28T00:00:00"/>
    <x v="0"/>
    <n v="2094313.48"/>
    <s v="No"/>
    <x v="22"/>
    <n v="206210.04"/>
    <n v="0"/>
    <x v="1"/>
    <s v="One-Time User"/>
  </r>
  <r>
    <x v="400"/>
    <n v="423000"/>
    <s v="Shivani Anne"/>
    <n v="920735094027"/>
    <x v="3"/>
    <x v="22"/>
    <x v="22"/>
    <x v="0"/>
    <x v="2"/>
    <n v="215474.39"/>
    <x v="2"/>
    <d v="2024-10-08T00:00:00"/>
    <x v="0"/>
    <n v="1178451.6100000001"/>
    <s v="No"/>
    <x v="6"/>
    <n v="215474.39"/>
    <n v="0"/>
    <x v="1"/>
    <s v="One-Time User"/>
  </r>
  <r>
    <x v="401"/>
    <n v="130377"/>
    <s v="Ucchal Char"/>
    <n v="985849548224"/>
    <x v="2"/>
    <x v="8"/>
    <x v="8"/>
    <x v="2"/>
    <x v="2"/>
    <n v="70527.759999999995"/>
    <x v="1"/>
    <d v="2024-09-06T00:00:00"/>
    <x v="0"/>
    <n v="379125.15"/>
    <s v="No"/>
    <x v="20"/>
    <n v="70527.759999999995"/>
    <n v="0"/>
    <x v="1"/>
    <s v="One-Time User"/>
  </r>
  <r>
    <x v="402"/>
    <n v="460288"/>
    <s v="Dhruv Koshy"/>
    <n v="843965511244"/>
    <x v="4"/>
    <x v="20"/>
    <x v="20"/>
    <x v="0"/>
    <x v="0"/>
    <n v="512577"/>
    <x v="1"/>
    <d v="2024-01-12T00:00:00"/>
    <x v="0"/>
    <n v="1566981.75"/>
    <s v="No"/>
    <x v="23"/>
    <n v="512577"/>
    <n v="0"/>
    <x v="1"/>
    <s v="One-Time User"/>
  </r>
  <r>
    <x v="403"/>
    <n v="965955"/>
    <s v="Yatan Kumar"/>
    <n v="737028625937"/>
    <x v="4"/>
    <x v="14"/>
    <x v="14"/>
    <x v="0"/>
    <x v="2"/>
    <n v="155790.78"/>
    <x v="1"/>
    <d v="2024-05-16T00:00:00"/>
    <x v="2"/>
    <n v="1689624.8"/>
    <s v="No"/>
    <x v="7"/>
    <n v="155790.78"/>
    <n v="0"/>
    <x v="1"/>
    <s v="One-Time User"/>
  </r>
  <r>
    <x v="404"/>
    <n v="118796"/>
    <s v="Udarsh Gill"/>
    <n v="680174339647"/>
    <x v="4"/>
    <x v="14"/>
    <x v="14"/>
    <x v="1"/>
    <x v="1"/>
    <n v="65204.76"/>
    <x v="0"/>
    <d v="2024-05-28T00:00:00"/>
    <x v="0"/>
    <n v="1799671.19"/>
    <s v="No"/>
    <x v="7"/>
    <n v="-65204.76"/>
    <n v="0"/>
    <x v="0"/>
    <s v="One-Time User"/>
  </r>
  <r>
    <x v="405"/>
    <n v="812461"/>
    <s v="Chanakya Bora"/>
    <n v="913958837565"/>
    <x v="1"/>
    <x v="24"/>
    <x v="24"/>
    <x v="2"/>
    <x v="1"/>
    <n v="99147.16"/>
    <x v="3"/>
    <d v="2024-03-03T00:00:00"/>
    <x v="0"/>
    <n v="1505998.48"/>
    <s v="No"/>
    <x v="2"/>
    <n v="-99147.16"/>
    <n v="0"/>
    <x v="1"/>
    <s v="One-Time User"/>
  </r>
  <r>
    <x v="406"/>
    <n v="655225"/>
    <s v="Harinakshi Dhillon"/>
    <n v="653731524065"/>
    <x v="1"/>
    <x v="23"/>
    <x v="23"/>
    <x v="3"/>
    <x v="0"/>
    <n v="380588.13"/>
    <x v="1"/>
    <d v="2025-06-13T00:00:00"/>
    <x v="0"/>
    <n v="2102641.09"/>
    <s v="No"/>
    <x v="12"/>
    <n v="380588.13"/>
    <n v="0"/>
    <x v="1"/>
    <s v="One-Time User"/>
  </r>
  <r>
    <x v="407"/>
    <n v="761846"/>
    <s v="Yash Dayal"/>
    <n v="847891210164"/>
    <x v="1"/>
    <x v="9"/>
    <x v="9"/>
    <x v="2"/>
    <x v="3"/>
    <n v="15732.38"/>
    <x v="4"/>
    <d v="2024-03-15T00:00:00"/>
    <x v="0"/>
    <n v="1410079.97"/>
    <s v="Yes"/>
    <x v="2"/>
    <n v="15732.38"/>
    <n v="1"/>
    <x v="1"/>
    <s v="One-Time User"/>
  </r>
  <r>
    <x v="408"/>
    <n v="603602"/>
    <s v="Warinder Mitra"/>
    <n v="214912003953"/>
    <x v="1"/>
    <x v="23"/>
    <x v="23"/>
    <x v="2"/>
    <x v="2"/>
    <n v="66658.89"/>
    <x v="1"/>
    <d v="2023-12-04T00:00:00"/>
    <x v="0"/>
    <n v="846851.16"/>
    <s v="No"/>
    <x v="8"/>
    <n v="66658.89"/>
    <n v="0"/>
    <x v="1"/>
    <s v="One-Time User"/>
  </r>
  <r>
    <x v="409"/>
    <n v="771785"/>
    <s v="Arunima Babu"/>
    <n v="160325421103"/>
    <x v="1"/>
    <x v="1"/>
    <x v="1"/>
    <x v="0"/>
    <x v="3"/>
    <n v="15483.43"/>
    <x v="0"/>
    <d v="2024-06-16T00:00:00"/>
    <x v="0"/>
    <n v="338089.14"/>
    <s v="No"/>
    <x v="5"/>
    <n v="15483.43"/>
    <n v="0"/>
    <x v="0"/>
    <s v="One-Time User"/>
  </r>
  <r>
    <x v="410"/>
    <n v="690698"/>
    <s v="Hardik Kuruvilla"/>
    <n v="602975157401"/>
    <x v="1"/>
    <x v="1"/>
    <x v="1"/>
    <x v="1"/>
    <x v="0"/>
    <n v="188855.58"/>
    <x v="1"/>
    <d v="2025-03-22T00:00:00"/>
    <x v="0"/>
    <n v="1261486.8600000001"/>
    <s v="No"/>
    <x v="18"/>
    <n v="188855.58"/>
    <n v="0"/>
    <x v="1"/>
    <s v="One-Time User"/>
  </r>
  <r>
    <x v="411"/>
    <n v="509024"/>
    <s v="Ishanvi Sandhu"/>
    <n v="942224459011"/>
    <x v="1"/>
    <x v="24"/>
    <x v="24"/>
    <x v="1"/>
    <x v="0"/>
    <n v="360614.5"/>
    <x v="4"/>
    <d v="2024-03-14T00:00:00"/>
    <x v="0"/>
    <n v="2008641.96"/>
    <s v="No"/>
    <x v="2"/>
    <n v="360614.5"/>
    <n v="0"/>
    <x v="1"/>
    <s v="One-Time User"/>
  </r>
  <r>
    <x v="412"/>
    <n v="659674"/>
    <s v="Kabir Dass"/>
    <n v="834218669029"/>
    <x v="3"/>
    <x v="10"/>
    <x v="10"/>
    <x v="2"/>
    <x v="0"/>
    <n v="473663.77"/>
    <x v="3"/>
    <d v="2025-05-29T00:00:00"/>
    <x v="0"/>
    <n v="1298379.1299999999"/>
    <s v="No"/>
    <x v="19"/>
    <n v="473663.77"/>
    <n v="0"/>
    <x v="1"/>
    <s v="One-Time User"/>
  </r>
  <r>
    <x v="413"/>
    <n v="147203"/>
    <s v="Yoshita Sangha"/>
    <n v="554908105827"/>
    <x v="1"/>
    <x v="23"/>
    <x v="23"/>
    <x v="3"/>
    <x v="3"/>
    <n v="98802.85"/>
    <x v="0"/>
    <d v="2024-04-19T00:00:00"/>
    <x v="0"/>
    <n v="2006752.03"/>
    <s v="No"/>
    <x v="14"/>
    <n v="98802.85"/>
    <n v="0"/>
    <x v="0"/>
    <s v="One-Time User"/>
  </r>
  <r>
    <x v="414"/>
    <n v="780768"/>
    <s v="Aditya Pai"/>
    <n v="815919059377"/>
    <x v="4"/>
    <x v="14"/>
    <x v="14"/>
    <x v="0"/>
    <x v="3"/>
    <n v="28863.24"/>
    <x v="1"/>
    <d v="2023-08-27T00:00:00"/>
    <x v="0"/>
    <n v="1761796.83"/>
    <s v="No"/>
    <x v="13"/>
    <n v="28863.24"/>
    <n v="0"/>
    <x v="1"/>
    <s v="One-Time User"/>
  </r>
  <r>
    <x v="415"/>
    <n v="904317"/>
    <s v="Unnati Singh"/>
    <n v="634833077589"/>
    <x v="4"/>
    <x v="15"/>
    <x v="15"/>
    <x v="2"/>
    <x v="1"/>
    <n v="75640.210000000006"/>
    <x v="1"/>
    <d v="2024-07-16T00:00:00"/>
    <x v="0"/>
    <n v="1696282.05"/>
    <s v="No"/>
    <x v="10"/>
    <n v="-75640.210000000006"/>
    <n v="0"/>
    <x v="1"/>
    <s v="One-Time User"/>
  </r>
  <r>
    <x v="416"/>
    <n v="994371"/>
    <s v="Radhika Sharaf"/>
    <n v="681386364839"/>
    <x v="1"/>
    <x v="18"/>
    <x v="18"/>
    <x v="3"/>
    <x v="3"/>
    <n v="25989.27"/>
    <x v="3"/>
    <d v="2025-03-11T00:00:00"/>
    <x v="0"/>
    <n v="1869459.68"/>
    <s v="No"/>
    <x v="18"/>
    <n v="25989.27"/>
    <n v="0"/>
    <x v="1"/>
    <s v="One-Time User"/>
  </r>
  <r>
    <x v="417"/>
    <n v="544541"/>
    <s v="Diya Babu"/>
    <n v="339699282348"/>
    <x v="4"/>
    <x v="14"/>
    <x v="14"/>
    <x v="1"/>
    <x v="0"/>
    <n v="306077.19"/>
    <x v="3"/>
    <d v="2024-04-01T00:00:00"/>
    <x v="0"/>
    <n v="445276.17"/>
    <s v="No"/>
    <x v="14"/>
    <n v="306077.19"/>
    <n v="0"/>
    <x v="1"/>
    <s v="One-Time User"/>
  </r>
  <r>
    <x v="418"/>
    <n v="814098"/>
    <s v="Jyoti Bansal"/>
    <n v="634498445905"/>
    <x v="1"/>
    <x v="24"/>
    <x v="24"/>
    <x v="0"/>
    <x v="2"/>
    <n v="278744.09999999998"/>
    <x v="1"/>
    <d v="2024-03-22T00:00:00"/>
    <x v="0"/>
    <n v="946157.45"/>
    <s v="No"/>
    <x v="2"/>
    <n v="278744.09999999998"/>
    <n v="0"/>
    <x v="1"/>
    <s v="One-Time User"/>
  </r>
  <r>
    <x v="419"/>
    <n v="362469"/>
    <s v="Abeer Chandran"/>
    <n v="574613910418"/>
    <x v="0"/>
    <x v="4"/>
    <x v="4"/>
    <x v="2"/>
    <x v="1"/>
    <n v="19889.240000000002"/>
    <x v="0"/>
    <d v="2025-04-12T00:00:00"/>
    <x v="0"/>
    <n v="536984.80000000005"/>
    <s v="No"/>
    <x v="0"/>
    <n v="-19889.240000000002"/>
    <n v="0"/>
    <x v="0"/>
    <s v="One-Time User"/>
  </r>
  <r>
    <x v="420"/>
    <n v="156651"/>
    <s v="Radha Viswanathan"/>
    <n v="712831351149"/>
    <x v="3"/>
    <x v="10"/>
    <x v="10"/>
    <x v="1"/>
    <x v="2"/>
    <n v="211790.53"/>
    <x v="4"/>
    <d v="2023-10-06T00:00:00"/>
    <x v="0"/>
    <n v="2062458.03"/>
    <s v="No"/>
    <x v="1"/>
    <n v="211790.53"/>
    <n v="0"/>
    <x v="1"/>
    <s v="One-Time User"/>
  </r>
  <r>
    <x v="421"/>
    <n v="223991"/>
    <s v="Christopher Dhawan"/>
    <n v="925585552693"/>
    <x v="0"/>
    <x v="5"/>
    <x v="5"/>
    <x v="0"/>
    <x v="0"/>
    <n v="419123.96"/>
    <x v="4"/>
    <d v="2025-04-06T00:00:00"/>
    <x v="0"/>
    <n v="718722.06"/>
    <s v="No"/>
    <x v="0"/>
    <n v="419123.96"/>
    <n v="0"/>
    <x v="1"/>
    <s v="One-Time User"/>
  </r>
  <r>
    <x v="422"/>
    <n v="381958"/>
    <s v="Bhavani Ahluwalia"/>
    <n v="503095894291"/>
    <x v="3"/>
    <x v="10"/>
    <x v="10"/>
    <x v="1"/>
    <x v="2"/>
    <n v="221952.99"/>
    <x v="3"/>
    <d v="2024-07-16T00:00:00"/>
    <x v="0"/>
    <n v="830174.30999999994"/>
    <s v="No"/>
    <x v="10"/>
    <n v="221952.99"/>
    <n v="0"/>
    <x v="1"/>
    <s v="One-Time User"/>
  </r>
  <r>
    <x v="423"/>
    <n v="888870"/>
    <s v="Niharika Lata"/>
    <n v="455614151118"/>
    <x v="4"/>
    <x v="14"/>
    <x v="14"/>
    <x v="3"/>
    <x v="0"/>
    <n v="174567.42"/>
    <x v="3"/>
    <d v="2024-08-24T00:00:00"/>
    <x v="0"/>
    <n v="1043689.06"/>
    <s v="No"/>
    <x v="4"/>
    <n v="174567.42"/>
    <n v="0"/>
    <x v="1"/>
    <s v="One-Time User"/>
  </r>
  <r>
    <x v="424"/>
    <n v="194074"/>
    <s v="Samuel Sama"/>
    <n v="370100981708"/>
    <x v="0"/>
    <x v="5"/>
    <x v="5"/>
    <x v="1"/>
    <x v="1"/>
    <n v="34180.81"/>
    <x v="4"/>
    <d v="2023-10-30T00:00:00"/>
    <x v="0"/>
    <n v="821912.01"/>
    <s v="No"/>
    <x v="1"/>
    <n v="-34180.81"/>
    <n v="0"/>
    <x v="1"/>
    <s v="One-Time User"/>
  </r>
  <r>
    <x v="425"/>
    <n v="870636"/>
    <s v="Samaksh Chatterjee"/>
    <n v="265725559669"/>
    <x v="2"/>
    <x v="3"/>
    <x v="3"/>
    <x v="3"/>
    <x v="0"/>
    <n v="204879.07"/>
    <x v="4"/>
    <d v="2024-02-18T00:00:00"/>
    <x v="0"/>
    <n v="1860252.84"/>
    <s v="No"/>
    <x v="15"/>
    <n v="204879.07"/>
    <n v="0"/>
    <x v="1"/>
    <s v="One-Time User"/>
  </r>
  <r>
    <x v="426"/>
    <n v="417871"/>
    <s v="Janaki Modi"/>
    <n v="340570703401"/>
    <x v="0"/>
    <x v="19"/>
    <x v="19"/>
    <x v="2"/>
    <x v="3"/>
    <n v="126048.15"/>
    <x v="1"/>
    <d v="2023-12-18T00:00:00"/>
    <x v="0"/>
    <n v="305126.23"/>
    <s v="No"/>
    <x v="8"/>
    <n v="126048.15"/>
    <n v="0"/>
    <x v="1"/>
    <s v="One-Time User"/>
  </r>
  <r>
    <x v="427"/>
    <n v="514407"/>
    <s v="Akshay Gera"/>
    <n v="675036663044"/>
    <x v="4"/>
    <x v="15"/>
    <x v="15"/>
    <x v="3"/>
    <x v="2"/>
    <n v="94591.93"/>
    <x v="2"/>
    <d v="2024-07-23T00:00:00"/>
    <x v="0"/>
    <n v="1580999.81"/>
    <s v="No"/>
    <x v="10"/>
    <n v="94591.93"/>
    <n v="0"/>
    <x v="1"/>
    <s v="One-Time User"/>
  </r>
  <r>
    <x v="428"/>
    <n v="356658"/>
    <s v="Madhavi Rastogi"/>
    <n v="605418878157"/>
    <x v="4"/>
    <x v="13"/>
    <x v="13"/>
    <x v="3"/>
    <x v="0"/>
    <n v="40155.279999999999"/>
    <x v="1"/>
    <d v="2023-10-05T00:00:00"/>
    <x v="0"/>
    <n v="527727.55000000005"/>
    <s v="No"/>
    <x v="1"/>
    <n v="40155.279999999999"/>
    <n v="0"/>
    <x v="1"/>
    <s v="One-Time User"/>
  </r>
  <r>
    <x v="429"/>
    <n v="256689"/>
    <s v="Vyanjana Kapoor"/>
    <n v="597626604290"/>
    <x v="0"/>
    <x v="11"/>
    <x v="11"/>
    <x v="2"/>
    <x v="0"/>
    <n v="269846.56"/>
    <x v="1"/>
    <d v="2023-08-30T00:00:00"/>
    <x v="0"/>
    <n v="1057833.83"/>
    <s v="No"/>
    <x v="13"/>
    <n v="269846.56"/>
    <n v="0"/>
    <x v="1"/>
    <s v="One-Time User"/>
  </r>
  <r>
    <x v="430"/>
    <n v="172968"/>
    <s v="Mitesh Deep"/>
    <n v="223152974785"/>
    <x v="4"/>
    <x v="12"/>
    <x v="12"/>
    <x v="1"/>
    <x v="2"/>
    <n v="6453.41"/>
    <x v="4"/>
    <d v="2024-09-14T00:00:00"/>
    <x v="0"/>
    <n v="1260667.3500000001"/>
    <s v="No"/>
    <x v="20"/>
    <n v="6453.41"/>
    <n v="0"/>
    <x v="1"/>
    <s v="One-Time User"/>
  </r>
  <r>
    <x v="431"/>
    <n v="473572"/>
    <s v="Kamya Rao"/>
    <n v="862059035512"/>
    <x v="2"/>
    <x v="6"/>
    <x v="6"/>
    <x v="2"/>
    <x v="0"/>
    <n v="378135.91"/>
    <x v="2"/>
    <d v="2024-12-04T00:00:00"/>
    <x v="0"/>
    <n v="460516.67"/>
    <s v="No"/>
    <x v="3"/>
    <n v="378135.91"/>
    <n v="0"/>
    <x v="1"/>
    <s v="One-Time User"/>
  </r>
  <r>
    <x v="432"/>
    <n v="727196"/>
    <s v="Megha Rau"/>
    <n v="213803806556"/>
    <x v="0"/>
    <x v="19"/>
    <x v="19"/>
    <x v="0"/>
    <x v="2"/>
    <n v="162015.07"/>
    <x v="2"/>
    <d v="2023-12-29T00:00:00"/>
    <x v="2"/>
    <n v="2062704.01"/>
    <s v="No"/>
    <x v="8"/>
    <n v="162015.07"/>
    <n v="0"/>
    <x v="1"/>
    <s v="One-Time User"/>
  </r>
  <r>
    <x v="433"/>
    <n v="310437"/>
    <s v="Indrajit Rai"/>
    <n v="619311161355"/>
    <x v="1"/>
    <x v="23"/>
    <x v="23"/>
    <x v="0"/>
    <x v="2"/>
    <n v="86822.48"/>
    <x v="1"/>
    <d v="2025-02-23T00:00:00"/>
    <x v="0"/>
    <n v="1212113.4099999999"/>
    <s v="No"/>
    <x v="17"/>
    <n v="86822.48"/>
    <n v="0"/>
    <x v="1"/>
    <s v="One-Time User"/>
  </r>
  <r>
    <x v="434"/>
    <n v="446826"/>
    <s v="Charita Devan"/>
    <n v="369238077065"/>
    <x v="0"/>
    <x v="19"/>
    <x v="19"/>
    <x v="1"/>
    <x v="1"/>
    <n v="27058.35"/>
    <x v="4"/>
    <d v="2024-02-23T00:00:00"/>
    <x v="0"/>
    <n v="233863.72"/>
    <s v="No"/>
    <x v="15"/>
    <n v="-27058.35"/>
    <n v="0"/>
    <x v="1"/>
    <s v="One-Time User"/>
  </r>
  <r>
    <x v="435"/>
    <n v="330179"/>
    <s v="Finn Shere"/>
    <n v="507751770849"/>
    <x v="2"/>
    <x v="6"/>
    <x v="6"/>
    <x v="3"/>
    <x v="1"/>
    <n v="86561.53"/>
    <x v="1"/>
    <d v="2023-12-19T00:00:00"/>
    <x v="0"/>
    <n v="1697759.69"/>
    <s v="No"/>
    <x v="8"/>
    <n v="-86561.53"/>
    <n v="0"/>
    <x v="1"/>
    <s v="One-Time User"/>
  </r>
  <r>
    <x v="436"/>
    <n v="129665"/>
    <s v="Azaan Rai"/>
    <n v="685732683411"/>
    <x v="4"/>
    <x v="14"/>
    <x v="14"/>
    <x v="3"/>
    <x v="1"/>
    <n v="110972.64"/>
    <x v="3"/>
    <d v="2023-11-29T00:00:00"/>
    <x v="0"/>
    <n v="1801082.85"/>
    <s v="No"/>
    <x v="11"/>
    <n v="-110972.64"/>
    <n v="0"/>
    <x v="1"/>
    <s v="One-Time User"/>
  </r>
  <r>
    <x v="437"/>
    <n v="366999"/>
    <s v="Saumya Nayar"/>
    <n v="105097624705"/>
    <x v="0"/>
    <x v="19"/>
    <x v="19"/>
    <x v="1"/>
    <x v="2"/>
    <n v="6574.26"/>
    <x v="4"/>
    <d v="2024-09-24T00:00:00"/>
    <x v="0"/>
    <n v="592520.64"/>
    <s v="No"/>
    <x v="20"/>
    <n v="6574.26"/>
    <n v="0"/>
    <x v="1"/>
    <s v="One-Time User"/>
  </r>
  <r>
    <x v="438"/>
    <n v="552388"/>
    <s v="Qarin Sarin"/>
    <n v="453842146842"/>
    <x v="0"/>
    <x v="0"/>
    <x v="0"/>
    <x v="3"/>
    <x v="3"/>
    <n v="195381.64"/>
    <x v="3"/>
    <d v="2024-07-05T00:00:00"/>
    <x v="0"/>
    <n v="1149629.3799999999"/>
    <s v="No"/>
    <x v="10"/>
    <n v="195381.64"/>
    <n v="0"/>
    <x v="1"/>
    <s v="One-Time User"/>
  </r>
  <r>
    <x v="439"/>
    <n v="523936"/>
    <s v="Theodore Chatterjee"/>
    <n v="145261144154"/>
    <x v="4"/>
    <x v="12"/>
    <x v="12"/>
    <x v="3"/>
    <x v="2"/>
    <n v="34140.730000000003"/>
    <x v="3"/>
    <d v="2023-12-28T00:00:00"/>
    <x v="3"/>
    <n v="1510625.24"/>
    <s v="No"/>
    <x v="8"/>
    <n v="34140.730000000003"/>
    <n v="0"/>
    <x v="1"/>
    <s v="One-Time User"/>
  </r>
  <r>
    <x v="440"/>
    <n v="454612"/>
    <s v="Vasudha Amble"/>
    <n v="305188756174"/>
    <x v="4"/>
    <x v="20"/>
    <x v="20"/>
    <x v="0"/>
    <x v="3"/>
    <n v="413815.24"/>
    <x v="4"/>
    <d v="2024-04-21T00:00:00"/>
    <x v="3"/>
    <n v="1653549.79"/>
    <s v="No"/>
    <x v="14"/>
    <n v="413815.24"/>
    <n v="0"/>
    <x v="1"/>
    <s v="One-Time User"/>
  </r>
  <r>
    <x v="441"/>
    <n v="222331"/>
    <s v="Patrick Ghosh"/>
    <n v="732483075544"/>
    <x v="1"/>
    <x v="9"/>
    <x v="9"/>
    <x v="2"/>
    <x v="0"/>
    <n v="498951.58"/>
    <x v="2"/>
    <d v="2024-01-13T00:00:00"/>
    <x v="0"/>
    <n v="1249983.6100000001"/>
    <s v="No"/>
    <x v="23"/>
    <n v="498951.58"/>
    <n v="0"/>
    <x v="1"/>
    <s v="One-Time User"/>
  </r>
  <r>
    <x v="442"/>
    <n v="457761"/>
    <s v="Dayita Choudhry"/>
    <n v="630313159087"/>
    <x v="2"/>
    <x v="8"/>
    <x v="8"/>
    <x v="3"/>
    <x v="0"/>
    <n v="500321.81"/>
    <x v="3"/>
    <d v="2024-11-16T00:00:00"/>
    <x v="0"/>
    <n v="1182670.67"/>
    <s v="No"/>
    <x v="16"/>
    <n v="500321.81"/>
    <n v="0"/>
    <x v="1"/>
    <s v="One-Time User"/>
  </r>
  <r>
    <x v="443"/>
    <n v="784041"/>
    <s v="Vasudha Devan"/>
    <n v="233652635234"/>
    <x v="3"/>
    <x v="21"/>
    <x v="21"/>
    <x v="0"/>
    <x v="2"/>
    <n v="233950.21"/>
    <x v="2"/>
    <d v="2025-04-17T00:00:00"/>
    <x v="0"/>
    <n v="1262558.1000000001"/>
    <s v="No"/>
    <x v="0"/>
    <n v="233950.21"/>
    <n v="0"/>
    <x v="1"/>
    <s v="One-Time User"/>
  </r>
  <r>
    <x v="444"/>
    <n v="130029"/>
    <s v="Aishani Vyas"/>
    <n v="649264358079"/>
    <x v="2"/>
    <x v="16"/>
    <x v="16"/>
    <x v="0"/>
    <x v="2"/>
    <n v="290578.13"/>
    <x v="0"/>
    <d v="2024-04-18T00:00:00"/>
    <x v="0"/>
    <n v="678673.67999999993"/>
    <s v="No"/>
    <x v="14"/>
    <n v="290578.13"/>
    <n v="0"/>
    <x v="0"/>
    <s v="One-Time User"/>
  </r>
  <r>
    <x v="445"/>
    <n v="806467"/>
    <s v="Madhavi Singhal"/>
    <n v="781500218179"/>
    <x v="3"/>
    <x v="7"/>
    <x v="7"/>
    <x v="2"/>
    <x v="2"/>
    <n v="106758.52"/>
    <x v="2"/>
    <d v="2023-10-08T00:00:00"/>
    <x v="3"/>
    <n v="296937.62"/>
    <s v="No"/>
    <x v="1"/>
    <n v="106758.52"/>
    <n v="0"/>
    <x v="1"/>
    <s v="One-Time User"/>
  </r>
  <r>
    <x v="446"/>
    <n v="908804"/>
    <s v="Ubika Nath"/>
    <n v="475332694595"/>
    <x v="4"/>
    <x v="15"/>
    <x v="15"/>
    <x v="1"/>
    <x v="3"/>
    <n v="55162.87"/>
    <x v="4"/>
    <d v="2023-11-28T00:00:00"/>
    <x v="0"/>
    <n v="951673.05999999994"/>
    <s v="No"/>
    <x v="11"/>
    <n v="55162.87"/>
    <n v="0"/>
    <x v="1"/>
    <s v="One-Time User"/>
  </r>
  <r>
    <x v="447"/>
    <n v="578684"/>
    <s v="Dalbir Mangal"/>
    <n v="726753454826"/>
    <x v="1"/>
    <x v="23"/>
    <x v="23"/>
    <x v="3"/>
    <x v="1"/>
    <n v="145964.88"/>
    <x v="1"/>
    <d v="2024-08-30T00:00:00"/>
    <x v="0"/>
    <n v="176477.34"/>
    <s v="No"/>
    <x v="4"/>
    <n v="-145964.88"/>
    <n v="0"/>
    <x v="1"/>
    <s v="One-Time User"/>
  </r>
  <r>
    <x v="448"/>
    <n v="855681"/>
    <s v="Zaitra Mohan"/>
    <n v="190826722420"/>
    <x v="2"/>
    <x v="3"/>
    <x v="3"/>
    <x v="2"/>
    <x v="1"/>
    <n v="40273.629999999997"/>
    <x v="4"/>
    <d v="2023-11-20T00:00:00"/>
    <x v="0"/>
    <n v="1640296.82"/>
    <s v="No"/>
    <x v="11"/>
    <n v="-40273.629999999997"/>
    <n v="0"/>
    <x v="1"/>
    <s v="One-Time User"/>
  </r>
  <r>
    <x v="449"/>
    <n v="453699"/>
    <s v="Ishanvi Mishra"/>
    <n v="544604573240"/>
    <x v="4"/>
    <x v="15"/>
    <x v="15"/>
    <x v="1"/>
    <x v="2"/>
    <n v="176968.27"/>
    <x v="0"/>
    <d v="2025-01-12T00:00:00"/>
    <x v="0"/>
    <n v="1090544.8999999999"/>
    <s v="No"/>
    <x v="22"/>
    <n v="176968.27"/>
    <n v="0"/>
    <x v="0"/>
    <s v="One-Time User"/>
  </r>
  <r>
    <x v="450"/>
    <n v="916141"/>
    <s v="Om Johal"/>
    <n v="838735243503"/>
    <x v="1"/>
    <x v="1"/>
    <x v="1"/>
    <x v="2"/>
    <x v="1"/>
    <n v="112350.94"/>
    <x v="1"/>
    <d v="2023-09-24T00:00:00"/>
    <x v="0"/>
    <n v="868277.44"/>
    <s v="No"/>
    <x v="21"/>
    <n v="-112350.94"/>
    <n v="0"/>
    <x v="1"/>
    <s v="One-Time User"/>
  </r>
  <r>
    <x v="451"/>
    <n v="155828"/>
    <s v="Vasatika Suresh"/>
    <n v="139729440036"/>
    <x v="2"/>
    <x v="3"/>
    <x v="3"/>
    <x v="0"/>
    <x v="2"/>
    <n v="177814.59"/>
    <x v="2"/>
    <d v="2025-01-05T00:00:00"/>
    <x v="0"/>
    <n v="1805585.1"/>
    <s v="No"/>
    <x v="22"/>
    <n v="177814.59"/>
    <n v="0"/>
    <x v="1"/>
    <s v="One-Time User"/>
  </r>
  <r>
    <x v="452"/>
    <n v="612319"/>
    <s v="Amara Agate"/>
    <n v="656157267106"/>
    <x v="1"/>
    <x v="1"/>
    <x v="1"/>
    <x v="3"/>
    <x v="0"/>
    <n v="143983.29999999999"/>
    <x v="2"/>
    <d v="2025-01-09T00:00:00"/>
    <x v="0"/>
    <n v="306242.71000000002"/>
    <s v="No"/>
    <x v="22"/>
    <n v="143983.29999999999"/>
    <n v="0"/>
    <x v="1"/>
    <s v="One-Time User"/>
  </r>
  <r>
    <x v="453"/>
    <n v="835355"/>
    <s v="Vedant Parmar"/>
    <n v="536963920814"/>
    <x v="1"/>
    <x v="9"/>
    <x v="9"/>
    <x v="1"/>
    <x v="0"/>
    <n v="216375.47"/>
    <x v="1"/>
    <d v="2024-06-21T00:00:00"/>
    <x v="0"/>
    <n v="1872659.81"/>
    <s v="No"/>
    <x v="5"/>
    <n v="216375.47"/>
    <n v="0"/>
    <x v="1"/>
    <s v="One-Time User"/>
  </r>
  <r>
    <x v="454"/>
    <n v="504669"/>
    <s v="Shivani Soman"/>
    <n v="754422929593"/>
    <x v="0"/>
    <x v="11"/>
    <x v="11"/>
    <x v="2"/>
    <x v="3"/>
    <n v="153284.23000000001"/>
    <x v="3"/>
    <d v="2024-09-18T00:00:00"/>
    <x v="0"/>
    <n v="2047719.1"/>
    <s v="No"/>
    <x v="20"/>
    <n v="153284.23000000001"/>
    <n v="0"/>
    <x v="1"/>
    <s v="One-Time User"/>
  </r>
  <r>
    <x v="455"/>
    <n v="473260"/>
    <s v="Abeer Nigam"/>
    <n v="304550826056"/>
    <x v="1"/>
    <x v="18"/>
    <x v="18"/>
    <x v="1"/>
    <x v="3"/>
    <n v="204242.97"/>
    <x v="1"/>
    <d v="2024-04-26T00:00:00"/>
    <x v="0"/>
    <n v="1266418.3500000001"/>
    <s v="No"/>
    <x v="14"/>
    <n v="204242.97"/>
    <n v="0"/>
    <x v="1"/>
    <s v="One-Time User"/>
  </r>
  <r>
    <x v="456"/>
    <n v="295399"/>
    <s v="Nathaniel D’Alia"/>
    <n v="841211888565"/>
    <x v="3"/>
    <x v="21"/>
    <x v="21"/>
    <x v="0"/>
    <x v="2"/>
    <n v="32917.839999999997"/>
    <x v="0"/>
    <d v="2024-09-11T00:00:00"/>
    <x v="0"/>
    <n v="270187.18"/>
    <s v="No"/>
    <x v="20"/>
    <n v="32917.839999999997"/>
    <n v="0"/>
    <x v="0"/>
    <s v="One-Time User"/>
  </r>
  <r>
    <x v="457"/>
    <n v="334036"/>
    <s v="Rishi Sachdeva"/>
    <n v="537089530790"/>
    <x v="2"/>
    <x v="6"/>
    <x v="6"/>
    <x v="2"/>
    <x v="1"/>
    <n v="104083.23"/>
    <x v="1"/>
    <d v="2024-04-09T00:00:00"/>
    <x v="0"/>
    <n v="1489360.81"/>
    <s v="No"/>
    <x v="14"/>
    <n v="-104083.23"/>
    <n v="0"/>
    <x v="1"/>
    <s v="One-Time User"/>
  </r>
  <r>
    <x v="458"/>
    <n v="935158"/>
    <s v="Ekalinga Balasubramanian"/>
    <n v="944938346542"/>
    <x v="3"/>
    <x v="22"/>
    <x v="22"/>
    <x v="3"/>
    <x v="2"/>
    <n v="150210.6"/>
    <x v="4"/>
    <d v="2024-11-28T00:00:00"/>
    <x v="0"/>
    <n v="1487795.84"/>
    <s v="No"/>
    <x v="16"/>
    <n v="150210.6"/>
    <n v="0"/>
    <x v="1"/>
    <s v="One-Time User"/>
  </r>
  <r>
    <x v="459"/>
    <n v="767001"/>
    <s v="Bhavani Sahota"/>
    <n v="674606333456"/>
    <x v="3"/>
    <x v="21"/>
    <x v="21"/>
    <x v="2"/>
    <x v="0"/>
    <n v="540827.56000000006"/>
    <x v="0"/>
    <d v="2024-04-21T00:00:00"/>
    <x v="0"/>
    <n v="1173477.6299999999"/>
    <s v="No"/>
    <x v="14"/>
    <n v="540827.56000000006"/>
    <n v="0"/>
    <x v="0"/>
    <s v="One-Time User"/>
  </r>
  <r>
    <x v="460"/>
    <n v="969821"/>
    <s v="Oscar Sodhi"/>
    <n v="780902409708"/>
    <x v="2"/>
    <x v="2"/>
    <x v="2"/>
    <x v="3"/>
    <x v="1"/>
    <n v="137525.01"/>
    <x v="2"/>
    <d v="2024-01-31T00:00:00"/>
    <x v="0"/>
    <n v="1849118.19"/>
    <s v="No"/>
    <x v="23"/>
    <n v="-137525.01"/>
    <n v="0"/>
    <x v="1"/>
    <s v="One-Time User"/>
  </r>
  <r>
    <x v="461"/>
    <n v="567678"/>
    <s v="Sanaya Hayer"/>
    <n v="441180444719"/>
    <x v="3"/>
    <x v="7"/>
    <x v="7"/>
    <x v="1"/>
    <x v="0"/>
    <n v="520051.76"/>
    <x v="2"/>
    <d v="2024-06-11T00:00:00"/>
    <x v="0"/>
    <n v="1715566.76"/>
    <s v="No"/>
    <x v="5"/>
    <n v="520051.76"/>
    <n v="0"/>
    <x v="1"/>
    <s v="One-Time User"/>
  </r>
  <r>
    <x v="462"/>
    <n v="689621"/>
    <s v="Oscar Chopra"/>
    <n v="996618159017"/>
    <x v="4"/>
    <x v="15"/>
    <x v="15"/>
    <x v="3"/>
    <x v="2"/>
    <n v="163962.70000000001"/>
    <x v="1"/>
    <d v="2023-10-12T00:00:00"/>
    <x v="0"/>
    <n v="2001906.48"/>
    <s v="No"/>
    <x v="1"/>
    <n v="163962.70000000001"/>
    <n v="0"/>
    <x v="1"/>
    <s v="One-Time User"/>
  </r>
  <r>
    <x v="463"/>
    <n v="224857"/>
    <s v="Fitan Batra"/>
    <n v="337595113221"/>
    <x v="3"/>
    <x v="21"/>
    <x v="21"/>
    <x v="1"/>
    <x v="0"/>
    <n v="416358.8"/>
    <x v="2"/>
    <d v="2025-02-12T00:00:00"/>
    <x v="0"/>
    <n v="2177281.27"/>
    <s v="No"/>
    <x v="17"/>
    <n v="416358.8"/>
    <n v="0"/>
    <x v="1"/>
    <s v="One-Time User"/>
  </r>
  <r>
    <x v="464"/>
    <n v="240183"/>
    <s v="Om Master"/>
    <n v="781431196996"/>
    <x v="3"/>
    <x v="10"/>
    <x v="10"/>
    <x v="3"/>
    <x v="2"/>
    <n v="102467.43"/>
    <x v="4"/>
    <d v="2024-02-24T00:00:00"/>
    <x v="2"/>
    <n v="1069178.8700000001"/>
    <s v="No"/>
    <x v="15"/>
    <n v="102467.43"/>
    <n v="0"/>
    <x v="1"/>
    <s v="One-Time User"/>
  </r>
  <r>
    <x v="465"/>
    <n v="187594"/>
    <s v="Bhavya Dugal"/>
    <n v="670671711566"/>
    <x v="0"/>
    <x v="0"/>
    <x v="0"/>
    <x v="1"/>
    <x v="3"/>
    <n v="442525.87"/>
    <x v="1"/>
    <d v="2024-12-01T00:00:00"/>
    <x v="0"/>
    <n v="1221978.27"/>
    <s v="No"/>
    <x v="3"/>
    <n v="442525.87"/>
    <n v="0"/>
    <x v="1"/>
    <s v="One-Time User"/>
  </r>
  <r>
    <x v="466"/>
    <n v="490738"/>
    <s v="Girish Karnik"/>
    <n v="159475214466"/>
    <x v="0"/>
    <x v="19"/>
    <x v="19"/>
    <x v="3"/>
    <x v="1"/>
    <n v="9274.36"/>
    <x v="1"/>
    <d v="2024-04-19T00:00:00"/>
    <x v="0"/>
    <n v="1645111.59"/>
    <s v="No"/>
    <x v="14"/>
    <n v="-9274.36"/>
    <n v="0"/>
    <x v="1"/>
    <s v="One-Time User"/>
  </r>
  <r>
    <x v="467"/>
    <n v="186325"/>
    <s v="Janaki Chhabra"/>
    <n v="760895056386"/>
    <x v="1"/>
    <x v="9"/>
    <x v="9"/>
    <x v="0"/>
    <x v="2"/>
    <n v="118082.76"/>
    <x v="0"/>
    <d v="2023-08-14T00:00:00"/>
    <x v="0"/>
    <n v="1846449.16"/>
    <s v="No"/>
    <x v="13"/>
    <n v="118082.76"/>
    <n v="0"/>
    <x v="0"/>
    <s v="One-Time User"/>
  </r>
  <r>
    <x v="468"/>
    <n v="441216"/>
    <s v="Shaurya Modi"/>
    <n v="384501417224"/>
    <x v="4"/>
    <x v="13"/>
    <x v="13"/>
    <x v="2"/>
    <x v="3"/>
    <n v="15002.6"/>
    <x v="3"/>
    <d v="2023-08-29T00:00:00"/>
    <x v="0"/>
    <n v="426860.72"/>
    <s v="No"/>
    <x v="13"/>
    <n v="15002.6"/>
    <n v="0"/>
    <x v="1"/>
    <s v="One-Time User"/>
  </r>
  <r>
    <x v="469"/>
    <n v="415091"/>
    <s v="Vanya Bhavsar"/>
    <n v="582715807001"/>
    <x v="4"/>
    <x v="20"/>
    <x v="20"/>
    <x v="1"/>
    <x v="3"/>
    <n v="186304.69"/>
    <x v="3"/>
    <d v="2024-06-24T00:00:00"/>
    <x v="0"/>
    <n v="558204.13"/>
    <s v="No"/>
    <x v="5"/>
    <n v="186304.69"/>
    <n v="0"/>
    <x v="1"/>
    <s v="One-Time User"/>
  </r>
  <r>
    <x v="470"/>
    <n v="647451"/>
    <s v="Isha Majumdar"/>
    <n v="908575564799"/>
    <x v="1"/>
    <x v="9"/>
    <x v="9"/>
    <x v="2"/>
    <x v="3"/>
    <n v="305720.05"/>
    <x v="3"/>
    <d v="2025-02-10T00:00:00"/>
    <x v="2"/>
    <n v="1570752.15"/>
    <s v="No"/>
    <x v="17"/>
    <n v="305720.05"/>
    <n v="0"/>
    <x v="1"/>
    <s v="One-Time User"/>
  </r>
  <r>
    <x v="471"/>
    <n v="313682"/>
    <s v="Rachana Nigam"/>
    <n v="975793031886"/>
    <x v="2"/>
    <x v="2"/>
    <x v="2"/>
    <x v="3"/>
    <x v="3"/>
    <n v="94684.54"/>
    <x v="3"/>
    <d v="2024-08-17T00:00:00"/>
    <x v="0"/>
    <n v="481839.38"/>
    <s v="No"/>
    <x v="4"/>
    <n v="94684.54"/>
    <n v="0"/>
    <x v="1"/>
    <s v="One-Time User"/>
  </r>
  <r>
    <x v="472"/>
    <n v="896301"/>
    <s v="Waida Dora"/>
    <n v="434355404660"/>
    <x v="4"/>
    <x v="14"/>
    <x v="14"/>
    <x v="1"/>
    <x v="3"/>
    <n v="266228.63"/>
    <x v="3"/>
    <d v="2025-03-08T00:00:00"/>
    <x v="0"/>
    <n v="1677551.8"/>
    <s v="No"/>
    <x v="18"/>
    <n v="266228.63"/>
    <n v="0"/>
    <x v="1"/>
    <s v="One-Time User"/>
  </r>
  <r>
    <x v="473"/>
    <n v="675784"/>
    <s v="Tara Shukla"/>
    <n v="788941069391"/>
    <x v="0"/>
    <x v="11"/>
    <x v="11"/>
    <x v="0"/>
    <x v="1"/>
    <n v="103723.98"/>
    <x v="4"/>
    <d v="2024-12-13T00:00:00"/>
    <x v="0"/>
    <n v="102204.71"/>
    <s v="No"/>
    <x v="3"/>
    <n v="-103723.98"/>
    <n v="0"/>
    <x v="1"/>
    <s v="One-Time User"/>
  </r>
  <r>
    <x v="474"/>
    <n v="555371"/>
    <s v="Chaaya Varty"/>
    <n v="229471966150"/>
    <x v="2"/>
    <x v="8"/>
    <x v="8"/>
    <x v="3"/>
    <x v="1"/>
    <n v="82951.97"/>
    <x v="2"/>
    <d v="2023-11-30T00:00:00"/>
    <x v="0"/>
    <n v="1906817.37"/>
    <s v="No"/>
    <x v="11"/>
    <n v="-82951.97"/>
    <n v="0"/>
    <x v="1"/>
    <s v="One-Time User"/>
  </r>
  <r>
    <x v="475"/>
    <n v="718015"/>
    <s v="Arjun Mangal"/>
    <n v="312934784546"/>
    <x v="2"/>
    <x v="8"/>
    <x v="8"/>
    <x v="1"/>
    <x v="3"/>
    <n v="90532.41"/>
    <x v="4"/>
    <d v="2024-06-27T00:00:00"/>
    <x v="0"/>
    <n v="1284948.74"/>
    <s v="No"/>
    <x v="5"/>
    <n v="90532.41"/>
    <n v="0"/>
    <x v="1"/>
    <s v="One-Time User"/>
  </r>
  <r>
    <x v="476"/>
    <n v="303217"/>
    <s v="Ekiya Wali"/>
    <n v="628667719492"/>
    <x v="3"/>
    <x v="22"/>
    <x v="22"/>
    <x v="0"/>
    <x v="3"/>
    <n v="25585.29"/>
    <x v="1"/>
    <d v="2023-07-15T00:00:00"/>
    <x v="0"/>
    <n v="1386616.39"/>
    <s v="No"/>
    <x v="9"/>
    <n v="25585.29"/>
    <n v="0"/>
    <x v="1"/>
    <s v="One-Time User"/>
  </r>
  <r>
    <x v="477"/>
    <n v="946247"/>
    <s v="Aachal Aggarwal"/>
    <n v="800614144292"/>
    <x v="2"/>
    <x v="2"/>
    <x v="2"/>
    <x v="2"/>
    <x v="3"/>
    <n v="84085.59"/>
    <x v="3"/>
    <d v="2023-12-08T00:00:00"/>
    <x v="0"/>
    <n v="2036998.71"/>
    <s v="No"/>
    <x v="8"/>
    <n v="84085.59"/>
    <n v="0"/>
    <x v="1"/>
    <s v="One-Time User"/>
  </r>
  <r>
    <x v="478"/>
    <n v="613463"/>
    <s v="Dayita Nayak"/>
    <n v="350731897846"/>
    <x v="0"/>
    <x v="0"/>
    <x v="0"/>
    <x v="0"/>
    <x v="3"/>
    <n v="257896.04"/>
    <x v="2"/>
    <d v="2024-11-11T00:00:00"/>
    <x v="3"/>
    <n v="333007.69"/>
    <s v="No"/>
    <x v="16"/>
    <n v="257896.04"/>
    <n v="0"/>
    <x v="1"/>
    <s v="One-Time User"/>
  </r>
  <r>
    <x v="479"/>
    <n v="153582"/>
    <s v="Ganga Memon"/>
    <n v="830198079057"/>
    <x v="4"/>
    <x v="12"/>
    <x v="12"/>
    <x v="3"/>
    <x v="2"/>
    <n v="142440"/>
    <x v="1"/>
    <d v="2024-09-25T00:00:00"/>
    <x v="1"/>
    <n v="778782.49"/>
    <s v="No"/>
    <x v="20"/>
    <n v="142440"/>
    <n v="0"/>
    <x v="1"/>
    <s v="One-Time User"/>
  </r>
  <r>
    <x v="480"/>
    <n v="100803"/>
    <s v="Harini Hari"/>
    <n v="343430050066"/>
    <x v="0"/>
    <x v="0"/>
    <x v="0"/>
    <x v="0"/>
    <x v="2"/>
    <n v="103601.04"/>
    <x v="2"/>
    <d v="2023-09-12T00:00:00"/>
    <x v="0"/>
    <n v="536358.44999999995"/>
    <s v="No"/>
    <x v="21"/>
    <n v="103601.04"/>
    <n v="0"/>
    <x v="1"/>
    <s v="One-Time User"/>
  </r>
  <r>
    <x v="481"/>
    <n v="520243"/>
    <s v="Vedhika Biswas"/>
    <n v="340851237938"/>
    <x v="1"/>
    <x v="18"/>
    <x v="18"/>
    <x v="1"/>
    <x v="0"/>
    <n v="556413.30000000005"/>
    <x v="2"/>
    <d v="2025-06-17T00:00:00"/>
    <x v="0"/>
    <n v="1461132.13"/>
    <s v="No"/>
    <x v="12"/>
    <n v="556413.30000000005"/>
    <n v="0"/>
    <x v="1"/>
    <s v="One-Time User"/>
  </r>
  <r>
    <x v="482"/>
    <n v="314894"/>
    <s v="Leena Sawhney"/>
    <n v="751158319736"/>
    <x v="3"/>
    <x v="22"/>
    <x v="22"/>
    <x v="2"/>
    <x v="2"/>
    <n v="4495.21"/>
    <x v="1"/>
    <d v="2023-09-16T00:00:00"/>
    <x v="0"/>
    <n v="275353.39"/>
    <s v="No"/>
    <x v="21"/>
    <n v="4495.21"/>
    <n v="0"/>
    <x v="1"/>
    <s v="One-Time User"/>
  </r>
  <r>
    <x v="483"/>
    <n v="779817"/>
    <s v="Aarini Rai"/>
    <n v="549818142528"/>
    <x v="0"/>
    <x v="4"/>
    <x v="4"/>
    <x v="0"/>
    <x v="0"/>
    <n v="125743.7"/>
    <x v="2"/>
    <d v="2024-11-28T00:00:00"/>
    <x v="1"/>
    <n v="1452499.81"/>
    <s v="No"/>
    <x v="16"/>
    <n v="125743.7"/>
    <n v="0"/>
    <x v="1"/>
    <s v="One-Time User"/>
  </r>
  <r>
    <x v="484"/>
    <n v="682271"/>
    <s v="Raksha Rao"/>
    <n v="911510411130"/>
    <x v="0"/>
    <x v="19"/>
    <x v="19"/>
    <x v="3"/>
    <x v="0"/>
    <n v="420581.41"/>
    <x v="4"/>
    <d v="2025-02-11T00:00:00"/>
    <x v="0"/>
    <n v="893133.07"/>
    <s v="No"/>
    <x v="17"/>
    <n v="420581.41"/>
    <n v="0"/>
    <x v="1"/>
    <s v="One-Time User"/>
  </r>
  <r>
    <x v="485"/>
    <n v="132455"/>
    <s v="Rayaan Nori"/>
    <n v="378333556205"/>
    <x v="4"/>
    <x v="20"/>
    <x v="20"/>
    <x v="3"/>
    <x v="1"/>
    <n v="49848.98"/>
    <x v="3"/>
    <d v="2024-05-26T00:00:00"/>
    <x v="0"/>
    <n v="1288147.47"/>
    <s v="No"/>
    <x v="7"/>
    <n v="-49848.98"/>
    <n v="0"/>
    <x v="1"/>
    <s v="One-Time User"/>
  </r>
  <r>
    <x v="486"/>
    <n v="568353"/>
    <s v="Utkarsh Mall"/>
    <n v="143654336794"/>
    <x v="3"/>
    <x v="17"/>
    <x v="17"/>
    <x v="1"/>
    <x v="0"/>
    <n v="197544.78"/>
    <x v="3"/>
    <d v="2023-10-08T00:00:00"/>
    <x v="3"/>
    <n v="868558.72"/>
    <s v="No"/>
    <x v="1"/>
    <n v="197544.78"/>
    <n v="0"/>
    <x v="1"/>
    <s v="One-Time User"/>
  </r>
  <r>
    <x v="487"/>
    <n v="802444"/>
    <s v="Tejas Basu"/>
    <n v="582762750258"/>
    <x v="1"/>
    <x v="23"/>
    <x v="23"/>
    <x v="2"/>
    <x v="1"/>
    <n v="141177.64000000001"/>
    <x v="0"/>
    <d v="2024-10-22T00:00:00"/>
    <x v="0"/>
    <n v="1843493.98"/>
    <s v="No"/>
    <x v="6"/>
    <n v="-141177.64000000001"/>
    <n v="0"/>
    <x v="0"/>
    <s v="One-Time User"/>
  </r>
  <r>
    <x v="488"/>
    <n v="978548"/>
    <s v="Ijaya Vig"/>
    <n v="331032149981"/>
    <x v="3"/>
    <x v="10"/>
    <x v="10"/>
    <x v="2"/>
    <x v="0"/>
    <n v="50422.44"/>
    <x v="4"/>
    <d v="2025-01-13T00:00:00"/>
    <x v="0"/>
    <n v="322201.67"/>
    <s v="No"/>
    <x v="22"/>
    <n v="50422.44"/>
    <n v="0"/>
    <x v="1"/>
    <s v="One-Time User"/>
  </r>
  <r>
    <x v="489"/>
    <n v="851257"/>
    <s v="Abhimanyu Ravi"/>
    <n v="990997552935"/>
    <x v="2"/>
    <x v="8"/>
    <x v="8"/>
    <x v="3"/>
    <x v="3"/>
    <n v="342132.86"/>
    <x v="0"/>
    <d v="2023-08-26T00:00:00"/>
    <x v="0"/>
    <n v="884872.35"/>
    <s v="No"/>
    <x v="13"/>
    <n v="342132.86"/>
    <n v="0"/>
    <x v="0"/>
    <s v="One-Time User"/>
  </r>
  <r>
    <x v="490"/>
    <n v="795373"/>
    <s v="Xiti Bhatti"/>
    <n v="289850951999"/>
    <x v="1"/>
    <x v="9"/>
    <x v="9"/>
    <x v="1"/>
    <x v="2"/>
    <n v="232001.45"/>
    <x v="3"/>
    <d v="2025-01-23T00:00:00"/>
    <x v="0"/>
    <n v="669999.41"/>
    <s v="No"/>
    <x v="22"/>
    <n v="232001.45"/>
    <n v="0"/>
    <x v="1"/>
    <s v="One-Time User"/>
  </r>
  <r>
    <x v="491"/>
    <n v="117914"/>
    <s v="Edhitha Deshpande"/>
    <n v="764425244728"/>
    <x v="0"/>
    <x v="5"/>
    <x v="5"/>
    <x v="1"/>
    <x v="1"/>
    <n v="109038.03"/>
    <x v="4"/>
    <d v="2024-01-12T00:00:00"/>
    <x v="0"/>
    <n v="1219596.98"/>
    <s v="No"/>
    <x v="23"/>
    <n v="-109038.03"/>
    <n v="0"/>
    <x v="1"/>
    <s v="One-Time User"/>
  </r>
  <r>
    <x v="492"/>
    <n v="648879"/>
    <s v="Jonathan Bhat"/>
    <n v="504085367461"/>
    <x v="4"/>
    <x v="12"/>
    <x v="12"/>
    <x v="2"/>
    <x v="3"/>
    <n v="475452.83"/>
    <x v="2"/>
    <d v="2023-11-26T00:00:00"/>
    <x v="2"/>
    <n v="917029.60000000009"/>
    <s v="No"/>
    <x v="11"/>
    <n v="475452.83"/>
    <n v="0"/>
    <x v="1"/>
    <s v="One-Time User"/>
  </r>
  <r>
    <x v="493"/>
    <n v="128077"/>
    <s v="Varsha Vaidya"/>
    <n v="252386211751"/>
    <x v="1"/>
    <x v="23"/>
    <x v="23"/>
    <x v="3"/>
    <x v="2"/>
    <n v="281600.58"/>
    <x v="0"/>
    <d v="2023-08-12T00:00:00"/>
    <x v="0"/>
    <n v="2051395.59"/>
    <s v="No"/>
    <x v="13"/>
    <n v="281600.58"/>
    <n v="0"/>
    <x v="0"/>
    <s v="One-Time User"/>
  </r>
  <r>
    <x v="494"/>
    <n v="882387"/>
    <s v="Manthan Subramaniam"/>
    <n v="732722911089"/>
    <x v="2"/>
    <x v="3"/>
    <x v="3"/>
    <x v="0"/>
    <x v="2"/>
    <n v="44124.36"/>
    <x v="4"/>
    <d v="2024-11-01T00:00:00"/>
    <x v="3"/>
    <n v="1627631.54"/>
    <s v="No"/>
    <x v="16"/>
    <n v="44124.36"/>
    <n v="0"/>
    <x v="1"/>
    <s v="One-Time User"/>
  </r>
  <r>
    <x v="495"/>
    <n v="372576"/>
    <s v="Daksha Raj"/>
    <n v="450052315274"/>
    <x v="3"/>
    <x v="10"/>
    <x v="10"/>
    <x v="1"/>
    <x v="2"/>
    <n v="16012.31"/>
    <x v="1"/>
    <d v="2024-05-10T00:00:00"/>
    <x v="2"/>
    <n v="1116498.8999999999"/>
    <s v="No"/>
    <x v="7"/>
    <n v="16012.31"/>
    <n v="0"/>
    <x v="1"/>
    <s v="One-Time User"/>
  </r>
  <r>
    <x v="496"/>
    <n v="973339"/>
    <s v="Advika Dua"/>
    <n v="617919454254"/>
    <x v="2"/>
    <x v="6"/>
    <x v="6"/>
    <x v="1"/>
    <x v="1"/>
    <n v="129630.37"/>
    <x v="3"/>
    <d v="2024-02-01T00:00:00"/>
    <x v="0"/>
    <n v="1652562.49"/>
    <s v="No"/>
    <x v="15"/>
    <n v="-129630.37"/>
    <n v="0"/>
    <x v="1"/>
    <s v="One-Time User"/>
  </r>
  <r>
    <x v="497"/>
    <n v="227576"/>
    <s v="Daksha Kamdar"/>
    <n v="369866165241"/>
    <x v="3"/>
    <x v="7"/>
    <x v="7"/>
    <x v="0"/>
    <x v="0"/>
    <n v="307632.5"/>
    <x v="4"/>
    <d v="2024-04-25T00:00:00"/>
    <x v="0"/>
    <n v="448240.99"/>
    <s v="No"/>
    <x v="14"/>
    <n v="307632.5"/>
    <n v="0"/>
    <x v="1"/>
    <s v="One-Time User"/>
  </r>
  <r>
    <x v="498"/>
    <n v="209976"/>
    <s v="Ekalinga Bawa"/>
    <n v="238320682537"/>
    <x v="3"/>
    <x v="10"/>
    <x v="10"/>
    <x v="2"/>
    <x v="3"/>
    <n v="345920.42"/>
    <x v="3"/>
    <d v="2024-08-31T00:00:00"/>
    <x v="0"/>
    <n v="1012522.46"/>
    <s v="No"/>
    <x v="4"/>
    <n v="345920.42"/>
    <n v="0"/>
    <x v="1"/>
    <s v="One-Time User"/>
  </r>
  <r>
    <x v="499"/>
    <n v="429704"/>
    <s v="Tristan Brar"/>
    <n v="127631697094"/>
    <x v="0"/>
    <x v="19"/>
    <x v="19"/>
    <x v="2"/>
    <x v="2"/>
    <n v="140084.76999999999"/>
    <x v="2"/>
    <d v="2025-07-04T00:00:00"/>
    <x v="0"/>
    <n v="1217164.3999999999"/>
    <s v="No"/>
    <x v="24"/>
    <n v="140084.76999999999"/>
    <n v="0"/>
    <x v="1"/>
    <s v="One-Time Us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7758E6-EF54-49AA-A7E4-3FBA608984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K50:AL56" firstHeaderRow="1" firstDataRow="1" firstDataCol="1"/>
  <pivotFields count="21">
    <pivotField showAll="0"/>
    <pivotField showAll="0"/>
    <pivotField showAll="0"/>
    <pivotField showAll="0"/>
    <pivotField axis="axisRow" showAll="0">
      <items count="6">
        <item x="0"/>
        <item x="1"/>
        <item x="3"/>
        <item x="4"/>
        <item x="2"/>
        <item t="default"/>
      </items>
    </pivotField>
    <pivotField showAll="0"/>
    <pivotField showAll="0"/>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dataField="1"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4"/>
  </rowFields>
  <rowItems count="6">
    <i>
      <x/>
    </i>
    <i>
      <x v="1"/>
    </i>
    <i>
      <x v="2"/>
    </i>
    <i>
      <x v="3"/>
    </i>
    <i>
      <x v="4"/>
    </i>
    <i t="grand">
      <x/>
    </i>
  </rowItems>
  <colItems count="1">
    <i/>
  </colItems>
  <dataFields count="1">
    <dataField name="Count of Is Fraud" fld="14"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C2BE28-D204-4C53-8E82-2150298B351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7:S33" firstHeaderRow="1" firstDataRow="1" firstDataCol="1"/>
  <pivotFields count="21">
    <pivotField showAll="0"/>
    <pivotField showAll="0"/>
    <pivotField showAll="0"/>
    <pivotField showAll="0"/>
    <pivotField axis="axisRow"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4"/>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3553CA-198A-44B1-9843-D16CD49A398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L15" firstHeaderRow="1" firstDataRow="1" firstDataCol="0"/>
  <pivotFields count="21">
    <pivotField showAll="0"/>
    <pivotField dataField="1"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Count of Custom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E27F09-37A7-4CEB-9C63-7DA63E8E196D}" name="PivotTable1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C32:C58" firstHeaderRow="1" firstDataRow="1" firstDataCol="1"/>
  <pivotFields count="21">
    <pivotField showAll="0"/>
    <pivotField showAll="0"/>
    <pivotField showAll="0"/>
    <pivotField showAll="0"/>
    <pivotField showAll="0"/>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6418FA-D874-428D-9973-CE9922BD81F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6:H42" firstHeaderRow="1" firstDataRow="1" firstDataCol="1"/>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axis="axisRow"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10"/>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DDA69A-DA43-4EEF-B8B7-214E8AC079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Total Transactio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3B465E-988C-4AD6-BFB0-D0D07B45F72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6:AG155" firstHeaderRow="1" firstDataRow="1" firstDataCol="1"/>
  <pivotFields count="21">
    <pivotField showAll="0"/>
    <pivotField showAll="0"/>
    <pivotField showAll="0"/>
    <pivotField showAll="0"/>
    <pivotField showAll="0">
      <items count="6">
        <item x="0"/>
        <item x="1"/>
        <item x="3"/>
        <item x="4"/>
        <item x="2"/>
        <item t="default"/>
      </items>
    </pivotField>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axis="axisRow"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2">
    <field x="6"/>
    <field x="10"/>
  </rowFields>
  <rowItems count="149">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x v="7"/>
    </i>
    <i r="1">
      <x/>
    </i>
    <i r="1">
      <x v="1"/>
    </i>
    <i r="1">
      <x v="2"/>
    </i>
    <i r="1">
      <x v="3"/>
    </i>
    <i r="1">
      <x v="4"/>
    </i>
    <i>
      <x v="8"/>
    </i>
    <i r="1">
      <x/>
    </i>
    <i r="1">
      <x v="1"/>
    </i>
    <i r="1">
      <x v="2"/>
    </i>
    <i r="1">
      <x v="3"/>
    </i>
    <i r="1">
      <x v="4"/>
    </i>
    <i>
      <x v="9"/>
    </i>
    <i r="1">
      <x/>
    </i>
    <i r="1">
      <x v="1"/>
    </i>
    <i r="1">
      <x v="2"/>
    </i>
    <i r="1">
      <x v="3"/>
    </i>
    <i r="1">
      <x v="4"/>
    </i>
    <i>
      <x v="10"/>
    </i>
    <i r="1">
      <x/>
    </i>
    <i r="1">
      <x v="1"/>
    </i>
    <i r="1">
      <x v="3"/>
    </i>
    <i r="1">
      <x v="4"/>
    </i>
    <i>
      <x v="11"/>
    </i>
    <i r="1">
      <x/>
    </i>
    <i r="1">
      <x v="1"/>
    </i>
    <i r="1">
      <x v="2"/>
    </i>
    <i r="1">
      <x v="3"/>
    </i>
    <i r="1">
      <x v="4"/>
    </i>
    <i>
      <x v="12"/>
    </i>
    <i r="1">
      <x/>
    </i>
    <i r="1">
      <x v="1"/>
    </i>
    <i r="1">
      <x v="2"/>
    </i>
    <i r="1">
      <x v="3"/>
    </i>
    <i r="1">
      <x v="4"/>
    </i>
    <i>
      <x v="13"/>
    </i>
    <i r="1">
      <x/>
    </i>
    <i r="1">
      <x v="1"/>
    </i>
    <i r="1">
      <x v="2"/>
    </i>
    <i r="1">
      <x v="3"/>
    </i>
    <i r="1">
      <x v="4"/>
    </i>
    <i>
      <x v="14"/>
    </i>
    <i r="1">
      <x/>
    </i>
    <i r="1">
      <x v="1"/>
    </i>
    <i r="1">
      <x v="2"/>
    </i>
    <i r="1">
      <x v="3"/>
    </i>
    <i r="1">
      <x v="4"/>
    </i>
    <i>
      <x v="15"/>
    </i>
    <i r="1">
      <x/>
    </i>
    <i r="1">
      <x v="1"/>
    </i>
    <i r="1">
      <x v="2"/>
    </i>
    <i r="1">
      <x v="3"/>
    </i>
    <i r="1">
      <x v="4"/>
    </i>
    <i>
      <x v="16"/>
    </i>
    <i r="1">
      <x/>
    </i>
    <i r="1">
      <x v="1"/>
    </i>
    <i r="1">
      <x v="2"/>
    </i>
    <i r="1">
      <x v="3"/>
    </i>
    <i r="1">
      <x v="4"/>
    </i>
    <i>
      <x v="17"/>
    </i>
    <i r="1">
      <x/>
    </i>
    <i r="1">
      <x v="1"/>
    </i>
    <i r="1">
      <x v="2"/>
    </i>
    <i r="1">
      <x v="4"/>
    </i>
    <i>
      <x v="18"/>
    </i>
    <i r="1">
      <x/>
    </i>
    <i r="1">
      <x v="1"/>
    </i>
    <i r="1">
      <x v="2"/>
    </i>
    <i r="1">
      <x v="3"/>
    </i>
    <i r="1">
      <x v="4"/>
    </i>
    <i>
      <x v="19"/>
    </i>
    <i r="1">
      <x/>
    </i>
    <i r="1">
      <x v="1"/>
    </i>
    <i r="1">
      <x v="2"/>
    </i>
    <i r="1">
      <x v="3"/>
    </i>
    <i r="1">
      <x v="4"/>
    </i>
    <i>
      <x v="20"/>
    </i>
    <i r="1">
      <x/>
    </i>
    <i r="1">
      <x v="1"/>
    </i>
    <i r="1">
      <x v="2"/>
    </i>
    <i r="1">
      <x v="3"/>
    </i>
    <i r="1">
      <x v="4"/>
    </i>
    <i>
      <x v="21"/>
    </i>
    <i r="1">
      <x/>
    </i>
    <i r="1">
      <x v="1"/>
    </i>
    <i r="1">
      <x v="2"/>
    </i>
    <i r="1">
      <x v="3"/>
    </i>
    <i r="1">
      <x v="4"/>
    </i>
    <i>
      <x v="22"/>
    </i>
    <i r="1">
      <x/>
    </i>
    <i r="1">
      <x v="1"/>
    </i>
    <i r="1">
      <x v="2"/>
    </i>
    <i r="1">
      <x v="3"/>
    </i>
    <i r="1">
      <x v="4"/>
    </i>
    <i>
      <x v="23"/>
    </i>
    <i r="1">
      <x/>
    </i>
    <i r="1">
      <x v="1"/>
    </i>
    <i r="1">
      <x v="2"/>
    </i>
    <i r="1">
      <x v="3"/>
    </i>
    <i r="1">
      <x v="4"/>
    </i>
    <i>
      <x v="24"/>
    </i>
    <i r="1">
      <x/>
    </i>
    <i r="1">
      <x v="1"/>
    </i>
    <i r="1">
      <x v="2"/>
    </i>
    <i r="1">
      <x v="3"/>
    </i>
    <i r="1">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6B49F9-F0AB-43BC-8C15-F10EC5A926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D30:AE36" firstHeaderRow="1" firstDataRow="1" firstDataCol="1"/>
  <pivotFields count="21">
    <pivotField dataField="1"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axis="axisRow"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10"/>
  </rowFields>
  <rowItems count="6">
    <i>
      <x/>
    </i>
    <i>
      <x v="1"/>
    </i>
    <i>
      <x v="2"/>
    </i>
    <i>
      <x v="3"/>
    </i>
    <i>
      <x v="4"/>
    </i>
    <i t="grand">
      <x/>
    </i>
  </rowItems>
  <colItems count="1">
    <i/>
  </colItems>
  <dataFields count="1">
    <dataField name="Count of Transaction ID" fld="0" subtotal="count" baseField="0" baseItem="0"/>
  </dataFields>
  <chartFormats count="6">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10" count="1" selected="0">
            <x v="0"/>
          </reference>
        </references>
      </pivotArea>
    </chartFormat>
    <chartFormat chart="24" format="4">
      <pivotArea type="data" outline="0" fieldPosition="0">
        <references count="2">
          <reference field="4294967294" count="1" selected="0">
            <x v="0"/>
          </reference>
          <reference field="10" count="1" selected="0">
            <x v="1"/>
          </reference>
        </references>
      </pivotArea>
    </chartFormat>
    <chartFormat chart="24" format="5">
      <pivotArea type="data" outline="0" fieldPosition="0">
        <references count="2">
          <reference field="4294967294" count="1" selected="0">
            <x v="0"/>
          </reference>
          <reference field="10" count="1" selected="0">
            <x v="2"/>
          </reference>
        </references>
      </pivotArea>
    </chartFormat>
    <chartFormat chart="24" format="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93B10D-4BB0-491C-AF1E-E4E69188166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L11" firstHeaderRow="1" firstDataRow="1" firstDataCol="0"/>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Sum of Transaction Amount" fld="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56C9E4-4AA2-494E-AE38-C9E0185D92B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C52:BD55" firstHeaderRow="1" firstDataRow="1" firstDataCol="1"/>
  <pivotFields count="21">
    <pivotField dataField="1"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axis="axisRow" showAll="0">
      <items count="3">
        <item x="1"/>
        <item x="0"/>
        <item t="default"/>
      </items>
    </pivotField>
    <pivotField showAll="0"/>
    <pivotField showAll="0" defaultSubtotal="0">
      <items count="3">
        <item x="0"/>
        <item x="1"/>
        <item x="2"/>
      </items>
    </pivotField>
  </pivotFields>
  <rowFields count="1">
    <field x="18"/>
  </rowFields>
  <rowItems count="3">
    <i>
      <x/>
    </i>
    <i>
      <x v="1"/>
    </i>
    <i t="grand">
      <x/>
    </i>
  </rowItems>
  <colItems count="1">
    <i/>
  </colItems>
  <dataFields count="1">
    <dataField name="Count of Transaction 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4F6E08-E4A9-484C-AE6C-EA45854A64E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R4:S10" firstHeaderRow="1" firstDataRow="1" firstDataCol="1"/>
  <pivotFields count="21">
    <pivotField showAll="0"/>
    <pivotField showAll="0"/>
    <pivotField showAll="0"/>
    <pivotField showAll="0"/>
    <pivotField axis="axisRow" showAll="0">
      <items count="6">
        <item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Fields count="1">
    <field x="4"/>
  </rowFields>
  <rowItems count="6">
    <i>
      <x/>
    </i>
    <i>
      <x v="1"/>
    </i>
    <i>
      <x v="2"/>
    </i>
    <i>
      <x v="3"/>
    </i>
    <i>
      <x v="4"/>
    </i>
    <i t="grand">
      <x/>
    </i>
  </rowItems>
  <colItems count="1">
    <i/>
  </colItems>
  <dataFields count="1">
    <dataField name="Sum of Transaction Amount" fld="9" baseField="0" baseItem="0" numFmtId="165"/>
  </dataFields>
  <chartFormats count="7">
    <chartFormat chart="24"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4" count="1" selected="0">
            <x v="0"/>
          </reference>
        </references>
      </pivotArea>
    </chartFormat>
    <chartFormat chart="34" format="4">
      <pivotArea type="data" outline="0" fieldPosition="0">
        <references count="2">
          <reference field="4294967294" count="1" selected="0">
            <x v="0"/>
          </reference>
          <reference field="4" count="1" selected="0">
            <x v="1"/>
          </reference>
        </references>
      </pivotArea>
    </chartFormat>
    <chartFormat chart="34" format="5">
      <pivotArea type="data" outline="0" fieldPosition="0">
        <references count="2">
          <reference field="4294967294" count="1" selected="0">
            <x v="0"/>
          </reference>
          <reference field="4" count="1" selected="0">
            <x v="2"/>
          </reference>
        </references>
      </pivotArea>
    </chartFormat>
    <chartFormat chart="34" format="6">
      <pivotArea type="data" outline="0" fieldPosition="0">
        <references count="2">
          <reference field="4294967294" count="1" selected="0">
            <x v="0"/>
          </reference>
          <reference field="4" count="1" selected="0">
            <x v="3"/>
          </reference>
        </references>
      </pivotArea>
    </chartFormat>
    <chartFormat chart="34"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555683-E675-4A94-B68F-75D0D1ADF0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J13:AK42" firstHeaderRow="1" firstDataRow="1" firstDataCol="1"/>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axis="axisRow"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axis="axisRow" showAll="0">
      <items count="4">
        <item x="0"/>
        <item x="1"/>
        <item x="2"/>
        <item t="default"/>
      </items>
    </pivotField>
  </pivotFields>
  <rowFields count="2">
    <field x="20"/>
    <field x="15"/>
  </rowFields>
  <rowItems count="29">
    <i>
      <x/>
    </i>
    <i r="1">
      <x/>
    </i>
    <i r="1">
      <x v="1"/>
    </i>
    <i r="1">
      <x v="2"/>
    </i>
    <i r="1">
      <x v="3"/>
    </i>
    <i r="1">
      <x v="4"/>
    </i>
    <i r="1">
      <x v="5"/>
    </i>
    <i>
      <x v="1"/>
    </i>
    <i r="1">
      <x v="6"/>
    </i>
    <i r="1">
      <x v="7"/>
    </i>
    <i r="1">
      <x v="8"/>
    </i>
    <i r="1">
      <x v="9"/>
    </i>
    <i r="1">
      <x v="10"/>
    </i>
    <i r="1">
      <x v="11"/>
    </i>
    <i r="1">
      <x v="12"/>
    </i>
    <i r="1">
      <x v="13"/>
    </i>
    <i r="1">
      <x v="14"/>
    </i>
    <i r="1">
      <x v="15"/>
    </i>
    <i r="1">
      <x v="16"/>
    </i>
    <i r="1">
      <x v="17"/>
    </i>
    <i>
      <x v="2"/>
    </i>
    <i r="1">
      <x v="18"/>
    </i>
    <i r="1">
      <x v="19"/>
    </i>
    <i r="1">
      <x v="20"/>
    </i>
    <i r="1">
      <x v="21"/>
    </i>
    <i r="1">
      <x v="22"/>
    </i>
    <i r="1">
      <x v="23"/>
    </i>
    <i r="1">
      <x v="24"/>
    </i>
    <i t="grand">
      <x/>
    </i>
  </rowItems>
  <colItems count="1">
    <i/>
  </colItems>
  <dataFields count="1">
    <dataField name="Sum of Transaction Amount" fld="9" baseField="0" baseItem="0"/>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1D1C21-5A64-41E3-8E28-32D07412BBC2}"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10" firstHeaderRow="0" firstDataRow="0" firstDataCol="0"/>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5E5E9B-E69D-46F0-A156-F95B4271FF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X13:AY18" firstHeaderRow="1" firstDataRow="1" firstDataCol="1"/>
  <pivotFields count="21">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axis="axisRow" showAll="0">
      <items count="5">
        <item x="0"/>
        <item x="2"/>
        <item x="1"/>
        <item x="3"/>
        <item t="default"/>
      </items>
    </pivotField>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12"/>
  </rowFields>
  <rowItems count="5">
    <i>
      <x/>
    </i>
    <i>
      <x v="1"/>
    </i>
    <i>
      <x v="2"/>
    </i>
    <i>
      <x v="3"/>
    </i>
    <i t="grand">
      <x/>
    </i>
  </rowItems>
  <colItems count="1">
    <i/>
  </colItems>
  <dataFields count="1">
    <dataField name="Count of Transaction ID" fld="0" subtotal="count" baseField="0" baseItem="0"/>
  </dataFields>
  <chartFormats count="5">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2" count="1" selected="0">
            <x v="0"/>
          </reference>
        </references>
      </pivotArea>
    </chartFormat>
    <chartFormat chart="11" format="2">
      <pivotArea type="data" outline="0" fieldPosition="0">
        <references count="2">
          <reference field="4294967294" count="1" selected="0">
            <x v="0"/>
          </reference>
          <reference field="12" count="1" selected="0">
            <x v="3"/>
          </reference>
        </references>
      </pivotArea>
    </chartFormat>
    <chartFormat chart="11" format="3">
      <pivotArea type="data" outline="0" fieldPosition="0">
        <references count="2">
          <reference field="4294967294" count="1" selected="0">
            <x v="0"/>
          </reference>
          <reference field="12" count="1" selected="0">
            <x v="1"/>
          </reference>
        </references>
      </pivotArea>
    </chartFormat>
    <chartFormat chart="11"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8286C2-A81C-4F2C-B067-883A928A09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E40:AF45" firstHeaderRow="1" firstDataRow="1" firstDataCol="1"/>
  <pivotFields count="21">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7"/>
  </rowFields>
  <rowItems count="5">
    <i>
      <x/>
    </i>
    <i>
      <x v="1"/>
    </i>
    <i>
      <x v="2"/>
    </i>
    <i>
      <x v="3"/>
    </i>
    <i t="grand">
      <x/>
    </i>
  </rowItems>
  <colItems count="1">
    <i/>
  </colItems>
  <dataFields count="1">
    <dataField name="Sum of Transaction Amount" fld="9" baseField="0" baseItem="0"/>
  </dataFields>
  <chartFormats count="2">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482D3B8-AA08-4FD4-88A9-479217F1365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2:P13" firstHeaderRow="1" firstDataRow="1" firstDataCol="0"/>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Max of Transaction Amount" fld="9" subtotal="max"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AC677CE-F5E6-4AA9-93CB-CD8010AE538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P10" firstHeaderRow="1" firstDataRow="1" firstDataCol="0"/>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dataField="1"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Average of Transaction Amount" fld="9"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C027141-8150-4317-B0C1-95EFDEDD7F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V25:W30" firstHeaderRow="1" firstDataRow="1" firstDataCol="1"/>
  <pivotFields count="21">
    <pivotField dataField="1" showAll="0">
      <items count="501">
        <item x="177"/>
        <item x="367"/>
        <item x="343"/>
        <item x="91"/>
        <item x="64"/>
        <item x="133"/>
        <item x="164"/>
        <item x="182"/>
        <item x="55"/>
        <item x="247"/>
        <item x="118"/>
        <item x="418"/>
        <item x="146"/>
        <item x="237"/>
        <item x="464"/>
        <item x="364"/>
        <item x="28"/>
        <item x="147"/>
        <item x="393"/>
        <item x="169"/>
        <item x="384"/>
        <item x="186"/>
        <item x="489"/>
        <item x="345"/>
        <item x="216"/>
        <item x="123"/>
        <item x="283"/>
        <item x="474"/>
        <item x="297"/>
        <item x="112"/>
        <item x="106"/>
        <item x="249"/>
        <item x="211"/>
        <item x="163"/>
        <item x="213"/>
        <item x="452"/>
        <item x="205"/>
        <item x="340"/>
        <item x="109"/>
        <item x="490"/>
        <item x="193"/>
        <item x="102"/>
        <item x="57"/>
        <item x="375"/>
        <item x="300"/>
        <item x="432"/>
        <item x="27"/>
        <item x="254"/>
        <item x="446"/>
        <item x="101"/>
        <item x="401"/>
        <item x="302"/>
        <item x="2"/>
        <item x="76"/>
        <item x="322"/>
        <item x="94"/>
        <item x="140"/>
        <item x="89"/>
        <item x="306"/>
        <item x="495"/>
        <item x="99"/>
        <item x="424"/>
        <item x="454"/>
        <item x="135"/>
        <item x="353"/>
        <item x="44"/>
        <item x="149"/>
        <item x="455"/>
        <item x="67"/>
        <item x="33"/>
        <item x="298"/>
        <item x="156"/>
        <item x="413"/>
        <item x="330"/>
        <item x="437"/>
        <item x="228"/>
        <item x="441"/>
        <item x="304"/>
        <item x="250"/>
        <item x="86"/>
        <item x="409"/>
        <item x="370"/>
        <item x="328"/>
        <item x="137"/>
        <item x="299"/>
        <item x="349"/>
        <item x="202"/>
        <item x="344"/>
        <item x="402"/>
        <item x="233"/>
        <item x="422"/>
        <item x="3"/>
        <item x="119"/>
        <item x="17"/>
        <item x="288"/>
        <item x="189"/>
        <item x="346"/>
        <item x="428"/>
        <item x="49"/>
        <item x="180"/>
        <item x="85"/>
        <item x="15"/>
        <item x="315"/>
        <item x="155"/>
        <item x="56"/>
        <item x="286"/>
        <item x="21"/>
        <item x="157"/>
        <item x="37"/>
        <item x="443"/>
        <item x="380"/>
        <item x="248"/>
        <item x="319"/>
        <item x="323"/>
        <item x="381"/>
        <item x="265"/>
        <item x="387"/>
        <item x="492"/>
        <item x="421"/>
        <item x="361"/>
        <item x="290"/>
        <item x="390"/>
        <item x="350"/>
        <item x="366"/>
        <item x="144"/>
        <item x="473"/>
        <item x="82"/>
        <item x="246"/>
        <item x="423"/>
        <item x="170"/>
        <item x="234"/>
        <item x="374"/>
        <item x="498"/>
        <item x="54"/>
        <item x="309"/>
        <item x="24"/>
        <item x="114"/>
        <item x="427"/>
        <item x="270"/>
        <item x="465"/>
        <item x="14"/>
        <item x="240"/>
        <item x="310"/>
        <item x="494"/>
        <item x="487"/>
        <item x="293"/>
        <item x="73"/>
        <item x="303"/>
        <item x="111"/>
        <item x="19"/>
        <item x="120"/>
        <item x="468"/>
        <item x="320"/>
        <item x="47"/>
        <item x="116"/>
        <item x="18"/>
        <item x="476"/>
        <item x="435"/>
        <item x="272"/>
        <item x="486"/>
        <item x="386"/>
        <item x="324"/>
        <item x="337"/>
        <item x="406"/>
        <item x="475"/>
        <item x="469"/>
        <item x="95"/>
        <item x="408"/>
        <item x="377"/>
        <item x="458"/>
        <item x="460"/>
        <item x="457"/>
        <item x="480"/>
        <item x="69"/>
        <item x="40"/>
        <item x="29"/>
        <item x="87"/>
        <item x="433"/>
        <item x="263"/>
        <item x="63"/>
        <item x="308"/>
        <item x="39"/>
        <item x="231"/>
        <item x="342"/>
        <item x="204"/>
        <item x="92"/>
        <item x="60"/>
        <item x="125"/>
        <item x="203"/>
        <item x="358"/>
        <item x="224"/>
        <item x="339"/>
        <item x="305"/>
        <item x="277"/>
        <item x="453"/>
        <item x="363"/>
        <item x="129"/>
        <item x="45"/>
        <item x="74"/>
        <item x="419"/>
        <item x="396"/>
        <item x="6"/>
        <item x="223"/>
        <item x="329"/>
        <item x="197"/>
        <item x="161"/>
        <item x="36"/>
        <item x="58"/>
        <item x="174"/>
        <item x="38"/>
        <item x="215"/>
        <item x="318"/>
        <item x="388"/>
        <item x="471"/>
        <item x="221"/>
        <item x="139"/>
        <item x="227"/>
        <item x="195"/>
        <item x="456"/>
        <item x="307"/>
        <item x="271"/>
        <item x="244"/>
        <item x="287"/>
        <item x="284"/>
        <item x="311"/>
        <item x="107"/>
        <item x="472"/>
        <item x="466"/>
        <item x="84"/>
        <item x="336"/>
        <item x="325"/>
        <item x="405"/>
        <item x="183"/>
        <item x="262"/>
        <item x="425"/>
        <item x="4"/>
        <item x="117"/>
        <item x="440"/>
        <item x="166"/>
        <item x="81"/>
        <item x="128"/>
        <item x="210"/>
        <item x="439"/>
        <item x="314"/>
        <item x="220"/>
        <item x="395"/>
        <item x="145"/>
        <item x="362"/>
        <item x="154"/>
        <item x="267"/>
        <item x="394"/>
        <item x="341"/>
        <item x="238"/>
        <item x="229"/>
        <item x="35"/>
        <item x="470"/>
        <item x="261"/>
        <item x="214"/>
        <item x="138"/>
        <item x="126"/>
        <item x="289"/>
        <item x="209"/>
        <item x="483"/>
        <item x="83"/>
        <item x="236"/>
        <item x="22"/>
        <item x="252"/>
        <item x="191"/>
        <item x="173"/>
        <item x="312"/>
        <item x="200"/>
        <item x="463"/>
        <item x="152"/>
        <item x="130"/>
        <item x="479"/>
        <item x="98"/>
        <item x="292"/>
        <item x="172"/>
        <item x="347"/>
        <item x="46"/>
        <item x="13"/>
        <item x="383"/>
        <item x="26"/>
        <item x="488"/>
        <item x="417"/>
        <item x="404"/>
        <item x="253"/>
        <item x="429"/>
        <item x="243"/>
        <item x="449"/>
        <item x="294"/>
        <item x="59"/>
        <item x="232"/>
        <item x="255"/>
        <item x="497"/>
        <item x="235"/>
        <item x="218"/>
        <item x="153"/>
        <item x="77"/>
        <item x="331"/>
        <item x="48"/>
        <item x="416"/>
        <item x="420"/>
        <item x="481"/>
        <item x="459"/>
        <item x="178"/>
        <item x="398"/>
        <item x="411"/>
        <item x="274"/>
        <item x="485"/>
        <item x="436"/>
        <item x="301"/>
        <item x="276"/>
        <item x="31"/>
        <item x="368"/>
        <item x="434"/>
        <item x="282"/>
        <item x="143"/>
        <item x="431"/>
        <item x="196"/>
        <item x="162"/>
        <item x="104"/>
        <item x="279"/>
        <item x="484"/>
        <item x="296"/>
        <item x="351"/>
        <item x="482"/>
        <item x="20"/>
        <item x="212"/>
        <item x="280"/>
        <item x="219"/>
        <item x="11"/>
        <item x="124"/>
        <item x="378"/>
        <item x="278"/>
        <item x="335"/>
        <item x="194"/>
        <item x="68"/>
        <item x="66"/>
        <item x="176"/>
        <item x="360"/>
        <item x="397"/>
        <item x="23"/>
        <item x="316"/>
        <item x="71"/>
        <item x="451"/>
        <item x="430"/>
        <item x="462"/>
        <item x="291"/>
        <item x="355"/>
        <item x="496"/>
        <item x="207"/>
        <item x="198"/>
        <item x="245"/>
        <item x="42"/>
        <item x="412"/>
        <item x="225"/>
        <item x="392"/>
        <item x="159"/>
        <item x="348"/>
        <item x="185"/>
        <item x="7"/>
        <item x="52"/>
        <item x="326"/>
        <item x="334"/>
        <item x="1"/>
        <item x="442"/>
        <item x="389"/>
        <item x="97"/>
        <item x="447"/>
        <item x="376"/>
        <item x="333"/>
        <item x="266"/>
        <item x="448"/>
        <item x="34"/>
        <item x="414"/>
        <item x="226"/>
        <item x="257"/>
        <item x="356"/>
        <item x="461"/>
        <item x="369"/>
        <item x="400"/>
        <item x="285"/>
        <item x="51"/>
        <item x="0"/>
        <item x="295"/>
        <item x="410"/>
        <item x="188"/>
        <item x="184"/>
        <item x="53"/>
        <item x="79"/>
        <item x="70"/>
        <item x="192"/>
        <item x="239"/>
        <item x="352"/>
        <item x="264"/>
        <item x="134"/>
        <item x="179"/>
        <item x="467"/>
        <item x="222"/>
        <item x="478"/>
        <item x="41"/>
        <item x="371"/>
        <item x="321"/>
        <item x="148"/>
        <item x="407"/>
        <item x="30"/>
        <item x="181"/>
        <item x="379"/>
        <item x="115"/>
        <item x="160"/>
        <item x="499"/>
        <item x="12"/>
        <item x="217"/>
        <item x="168"/>
        <item x="151"/>
        <item x="372"/>
        <item x="121"/>
        <item x="477"/>
        <item x="150"/>
        <item x="385"/>
        <item x="242"/>
        <item x="426"/>
        <item x="241"/>
        <item x="365"/>
        <item x="80"/>
        <item x="141"/>
        <item x="132"/>
        <item x="438"/>
        <item x="327"/>
        <item x="75"/>
        <item x="61"/>
        <item x="201"/>
        <item x="96"/>
        <item x="90"/>
        <item x="359"/>
        <item x="187"/>
        <item x="50"/>
        <item x="93"/>
        <item x="103"/>
        <item x="268"/>
        <item x="158"/>
        <item x="9"/>
        <item x="122"/>
        <item x="136"/>
        <item x="25"/>
        <item x="105"/>
        <item x="491"/>
        <item x="399"/>
        <item x="65"/>
        <item x="8"/>
        <item x="259"/>
        <item x="78"/>
        <item x="72"/>
        <item x="273"/>
        <item x="269"/>
        <item x="175"/>
        <item x="199"/>
        <item x="382"/>
        <item x="493"/>
        <item x="251"/>
        <item x="256"/>
        <item x="317"/>
        <item x="415"/>
        <item x="373"/>
        <item x="100"/>
        <item x="142"/>
        <item x="260"/>
        <item x="281"/>
        <item x="275"/>
        <item x="165"/>
        <item x="208"/>
        <item x="5"/>
        <item x="10"/>
        <item x="167"/>
        <item x="230"/>
        <item x="445"/>
        <item x="108"/>
        <item x="403"/>
        <item x="190"/>
        <item x="332"/>
        <item x="110"/>
        <item x="444"/>
        <item x="313"/>
        <item x="16"/>
        <item x="357"/>
        <item x="206"/>
        <item x="338"/>
        <item x="88"/>
        <item x="113"/>
        <item x="43"/>
        <item x="450"/>
        <item x="354"/>
        <item x="131"/>
        <item x="62"/>
        <item x="258"/>
        <item x="127"/>
        <item x="32"/>
        <item x="391"/>
        <item x="171"/>
        <item t="default"/>
      </items>
    </pivotField>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axis="axisRow"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items count="4">
        <item x="0"/>
        <item x="1"/>
        <item x="2"/>
        <item t="default"/>
      </items>
    </pivotField>
  </pivotFields>
  <rowFields count="1">
    <field x="8"/>
  </rowFields>
  <rowItems count="5">
    <i>
      <x/>
    </i>
    <i>
      <x v="1"/>
    </i>
    <i>
      <x v="2"/>
    </i>
    <i>
      <x v="3"/>
    </i>
    <i t="grand">
      <x/>
    </i>
  </rowItems>
  <colItems count="1">
    <i/>
  </colItems>
  <dataFields count="1">
    <dataField name="Count of Transaction ID" fld="0" subtotal="count" baseField="0" baseItem="0"/>
  </dataFields>
  <chartFormats count="2">
    <chartFormat chart="1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C7B9E91-1B9C-47BE-9298-DB0B551624D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P50:AQ55" firstHeaderRow="1" firstDataRow="1" firstDataCol="1"/>
  <pivotFields count="21">
    <pivotField showAll="0"/>
    <pivotField dataField="1"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axis="axisRow" showAll="0">
      <items count="5">
        <item x="2"/>
        <item x="0"/>
        <item x="1"/>
        <item x="3"/>
        <item t="default"/>
      </items>
    </pivotField>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7"/>
  </rowFields>
  <rowItems count="5">
    <i>
      <x/>
    </i>
    <i>
      <x v="1"/>
    </i>
    <i>
      <x v="2"/>
    </i>
    <i>
      <x v="3"/>
    </i>
    <i t="grand">
      <x/>
    </i>
  </rowItems>
  <colItems count="1">
    <i/>
  </colItems>
  <dataFields count="1">
    <dataField name="Count of Customer ID" fld="1" subtotal="count" baseField="0" baseItem="0"/>
  </dataFields>
  <chartFormats count="10">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9" format="9">
      <pivotArea type="data" outline="0" fieldPosition="0">
        <references count="2">
          <reference field="4294967294" count="1" selected="0">
            <x v="0"/>
          </reference>
          <reference field="7" count="1" selected="0">
            <x v="2"/>
          </reference>
        </references>
      </pivotArea>
    </chartFormat>
    <chartFormat chart="9" format="10">
      <pivotArea type="data" outline="0" fieldPosition="0">
        <references count="2">
          <reference field="4294967294" count="1" selected="0">
            <x v="0"/>
          </reference>
          <reference field="7" count="1" selected="0">
            <x v="3"/>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6"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BD2FCDA-94AF-477D-AD1F-A4150D8B9CA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T50:AU76" firstHeaderRow="1" firstDataRow="1" firstDataCol="1"/>
  <pivotFields count="21">
    <pivotField dataField="1" showAll="0"/>
    <pivotField showAll="0"/>
    <pivotField showAll="0"/>
    <pivotField showAll="0"/>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items count="5">
        <item x="0"/>
        <item x="2"/>
        <item x="3"/>
        <item x="1"/>
        <item t="default"/>
      </items>
    </pivotField>
    <pivotField showAll="0"/>
    <pivotField showAll="0">
      <items count="6">
        <item x="4"/>
        <item x="1"/>
        <item x="3"/>
        <item x="2"/>
        <item x="0"/>
        <item t="default"/>
      </items>
    </pivotField>
    <pivotField numFmtId="164" showAll="0"/>
    <pivotField showAll="0"/>
    <pivotField showAll="0"/>
    <pivotField showAll="0"/>
    <pivotField showAll="0">
      <items count="26">
        <item x="9"/>
        <item x="13"/>
        <item x="21"/>
        <item x="1"/>
        <item x="11"/>
        <item x="8"/>
        <item x="23"/>
        <item x="15"/>
        <item x="2"/>
        <item x="14"/>
        <item x="7"/>
        <item x="5"/>
        <item x="10"/>
        <item x="4"/>
        <item x="20"/>
        <item x="6"/>
        <item x="16"/>
        <item x="3"/>
        <item x="22"/>
        <item x="17"/>
        <item x="18"/>
        <item x="0"/>
        <item x="19"/>
        <item x="12"/>
        <item x="24"/>
        <item t="default"/>
      </items>
    </pivotField>
    <pivotField showAll="0"/>
    <pivotField showAll="0"/>
    <pivotField showAll="0"/>
    <pivotField showAll="0"/>
    <pivotField showAll="0" defaultSubtotal="0">
      <items count="3">
        <item x="0"/>
        <item x="1"/>
        <item x="2"/>
      </items>
    </pivotField>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Transaction ID" fld="0" subtotal="count" baseField="0" baseItem="0"/>
  </dataFields>
  <chartFormats count="23">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5" count="1" selected="0">
            <x v="17"/>
          </reference>
        </references>
      </pivotArea>
    </chartFormat>
    <chartFormat chart="12" format="3">
      <pivotArea type="data" outline="0" fieldPosition="0">
        <references count="2">
          <reference field="4294967294" count="1" selected="0">
            <x v="0"/>
          </reference>
          <reference field="5" count="1" selected="0">
            <x v="24"/>
          </reference>
        </references>
      </pivotArea>
    </chartFormat>
    <chartFormat chart="12" format="4">
      <pivotArea type="data" outline="0" fieldPosition="0">
        <references count="2">
          <reference field="4294967294" count="1" selected="0">
            <x v="0"/>
          </reference>
          <reference field="5" count="1" selected="0">
            <x v="23"/>
          </reference>
        </references>
      </pivotArea>
    </chartFormat>
    <chartFormat chart="12" format="5">
      <pivotArea type="data" outline="0" fieldPosition="0">
        <references count="2">
          <reference field="4294967294" count="1" selected="0">
            <x v="0"/>
          </reference>
          <reference field="5" count="1" selected="0">
            <x v="22"/>
          </reference>
        </references>
      </pivotArea>
    </chartFormat>
    <chartFormat chart="12" format="6">
      <pivotArea type="data" outline="0" fieldPosition="0">
        <references count="2">
          <reference field="4294967294" count="1" selected="0">
            <x v="0"/>
          </reference>
          <reference field="5" count="1" selected="0">
            <x v="21"/>
          </reference>
        </references>
      </pivotArea>
    </chartFormat>
    <chartFormat chart="12" format="7">
      <pivotArea type="data" outline="0" fieldPosition="0">
        <references count="2">
          <reference field="4294967294" count="1" selected="0">
            <x v="0"/>
          </reference>
          <reference field="5" count="1" selected="0">
            <x v="20"/>
          </reference>
        </references>
      </pivotArea>
    </chartFormat>
    <chartFormat chart="12" format="8">
      <pivotArea type="data" outline="0" fieldPosition="0">
        <references count="2">
          <reference field="4294967294" count="1" selected="0">
            <x v="0"/>
          </reference>
          <reference field="5" count="1" selected="0">
            <x v="19"/>
          </reference>
        </references>
      </pivotArea>
    </chartFormat>
    <chartFormat chart="12" format="9">
      <pivotArea type="data" outline="0" fieldPosition="0">
        <references count="2">
          <reference field="4294967294" count="1" selected="0">
            <x v="0"/>
          </reference>
          <reference field="5" count="1" selected="0">
            <x v="18"/>
          </reference>
        </references>
      </pivotArea>
    </chartFormat>
    <chartFormat chart="12" format="10">
      <pivotArea type="data" outline="0" fieldPosition="0">
        <references count="2">
          <reference field="4294967294" count="1" selected="0">
            <x v="0"/>
          </reference>
          <reference field="5" count="1" selected="0">
            <x v="16"/>
          </reference>
        </references>
      </pivotArea>
    </chartFormat>
    <chartFormat chart="12" format="11">
      <pivotArea type="data" outline="0" fieldPosition="0">
        <references count="2">
          <reference field="4294967294" count="1" selected="0">
            <x v="0"/>
          </reference>
          <reference field="5" count="1" selected="0">
            <x v="15"/>
          </reference>
        </references>
      </pivotArea>
    </chartFormat>
    <chartFormat chart="12" format="12">
      <pivotArea type="data" outline="0" fieldPosition="0">
        <references count="2">
          <reference field="4294967294" count="1" selected="0">
            <x v="0"/>
          </reference>
          <reference field="5" count="1" selected="0">
            <x v="14"/>
          </reference>
        </references>
      </pivotArea>
    </chartFormat>
    <chartFormat chart="12" format="13">
      <pivotArea type="data" outline="0" fieldPosition="0">
        <references count="2">
          <reference field="4294967294" count="1" selected="0">
            <x v="0"/>
          </reference>
          <reference field="5" count="1" selected="0">
            <x v="13"/>
          </reference>
        </references>
      </pivotArea>
    </chartFormat>
    <chartFormat chart="12" format="14">
      <pivotArea type="data" outline="0" fieldPosition="0">
        <references count="2">
          <reference field="4294967294" count="1" selected="0">
            <x v="0"/>
          </reference>
          <reference field="5" count="1" selected="0">
            <x v="12"/>
          </reference>
        </references>
      </pivotArea>
    </chartFormat>
    <chartFormat chart="12" format="15">
      <pivotArea type="data" outline="0" fieldPosition="0">
        <references count="2">
          <reference field="4294967294" count="1" selected="0">
            <x v="0"/>
          </reference>
          <reference field="5" count="1" selected="0">
            <x v="11"/>
          </reference>
        </references>
      </pivotArea>
    </chartFormat>
    <chartFormat chart="12" format="16">
      <pivotArea type="data" outline="0" fieldPosition="0">
        <references count="2">
          <reference field="4294967294" count="1" selected="0">
            <x v="0"/>
          </reference>
          <reference field="5" count="1" selected="0">
            <x v="10"/>
          </reference>
        </references>
      </pivotArea>
    </chartFormat>
    <chartFormat chart="12" format="17">
      <pivotArea type="data" outline="0" fieldPosition="0">
        <references count="2">
          <reference field="4294967294" count="1" selected="0">
            <x v="0"/>
          </reference>
          <reference field="5" count="1" selected="0">
            <x v="9"/>
          </reference>
        </references>
      </pivotArea>
    </chartFormat>
    <chartFormat chart="12" format="18">
      <pivotArea type="data" outline="0" fieldPosition="0">
        <references count="2">
          <reference field="4294967294" count="1" selected="0">
            <x v="0"/>
          </reference>
          <reference field="5" count="1" selected="0">
            <x v="8"/>
          </reference>
        </references>
      </pivotArea>
    </chartFormat>
    <chartFormat chart="12" format="19">
      <pivotArea type="data" outline="0" fieldPosition="0">
        <references count="2">
          <reference field="4294967294" count="1" selected="0">
            <x v="0"/>
          </reference>
          <reference field="5" count="1" selected="0">
            <x v="7"/>
          </reference>
        </references>
      </pivotArea>
    </chartFormat>
    <chartFormat chart="12" format="20">
      <pivotArea type="data" outline="0" fieldPosition="0">
        <references count="2">
          <reference field="4294967294" count="1" selected="0">
            <x v="0"/>
          </reference>
          <reference field="5" count="1" selected="0">
            <x v="5"/>
          </reference>
        </references>
      </pivotArea>
    </chartFormat>
    <chartFormat chart="12" format="21">
      <pivotArea type="data" outline="0" fieldPosition="0">
        <references count="2">
          <reference field="4294967294" count="1" selected="0">
            <x v="0"/>
          </reference>
          <reference field="5" count="1" selected="0">
            <x v="4"/>
          </reference>
        </references>
      </pivotArea>
    </chartFormat>
    <chartFormat chart="12" format="2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BA91A02-A172-4811-A424-69680F0F30EE}" autoFormatId="16" applyNumberFormats="0" applyBorderFormats="0" applyFontFormats="0" applyPatternFormats="0" applyAlignmentFormats="0" applyWidthHeightFormats="0">
  <queryTableRefresh nextId="21">
    <queryTableFields count="20">
      <queryTableField id="1" name="Transaction ID" tableColumnId="1"/>
      <queryTableField id="2" name="Customer ID" tableColumnId="2"/>
      <queryTableField id="3" name="Customer Name" tableColumnId="3"/>
      <queryTableField id="4" name="Account Number" tableColumnId="4"/>
      <queryTableField id="5" name="Region" tableColumnId="5"/>
      <queryTableField id="6" name="City" tableColumnId="6"/>
      <queryTableField id="7" name="Branch Name" tableColumnId="7"/>
      <queryTableField id="8" name="Account Type" tableColumnId="8"/>
      <queryTableField id="9" name="Transaction Type" tableColumnId="9"/>
      <queryTableField id="10" name="Transaction Amount" tableColumnId="10"/>
      <queryTableField id="11" name="Payment Mode" tableColumnId="11"/>
      <queryTableField id="12" name="Transaction Date" tableColumnId="12"/>
      <queryTableField id="13" name="Transaction Status" tableColumnId="13"/>
      <queryTableField id="14" name="Balance After Txn" tableColumnId="14"/>
      <queryTableField id="15" name="Is Fraud" tableColumnId="15"/>
      <queryTableField id="16" name="year_month" tableColumnId="16"/>
      <queryTableField id="17" name="Net Change" tableColumnId="17"/>
      <queryTableField id="18" name="Fraud Flag" tableColumnId="18"/>
      <queryTableField id="19" name="Transaction Category" tableColumnId="19"/>
      <queryTableField id="20" name="Customer Type" tableColumnId="20"/>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B3F9B7BD-3FE6-491D-9A07-C05EBB058D10}" sourceName="Branch Name">
  <pivotTables>
    <pivotTable tabId="7" name="PivotTable19"/>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2"/>
    <pivotTable tabId="7" name="PivotTable20"/>
    <pivotTable tabId="7" name="PivotTable3"/>
    <pivotTable tabId="7" name="PivotTable4"/>
    <pivotTable tabId="7" name="PivotTable7"/>
    <pivotTable tabId="7" name="PivotTable8"/>
    <pivotTable tabId="7" name="PivotTable9"/>
  </pivotTables>
  <data>
    <tabular pivotCacheId="1465973766">
      <items count="25">
        <i x="2" s="1"/>
        <i x="7" s="1"/>
        <i x="20" s="1"/>
        <i x="4" s="1"/>
        <i x="23" s="1"/>
        <i x="17" s="1"/>
        <i x="14" s="1"/>
        <i x="12" s="1"/>
        <i x="22" s="1"/>
        <i x="1" s="1"/>
        <i x="19" s="1"/>
        <i x="15" s="1"/>
        <i x="0" s="1"/>
        <i x="11" s="1"/>
        <i x="21" s="1"/>
        <i x="13" s="1"/>
        <i x="18" s="1"/>
        <i x="10" s="1"/>
        <i x="16" s="1"/>
        <i x="8" s="1"/>
        <i x="9" s="1"/>
        <i x="3" s="1"/>
        <i x="5" s="1"/>
        <i x="2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8B2B6B1-60C7-4BC9-8604-118E6DCF6EF5}" sourceName="Payment Mode">
  <pivotTables>
    <pivotTable tabId="7" name="PivotTable20"/>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465973766">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3C2640C8-4B4A-402B-A46F-DA9FA8180F9C}" sourceName="Transaction Type">
  <pivotTables>
    <pivotTable tabId="7" name="PivotTable12"/>
    <pivotTable tabId="7" name="PivotTable1"/>
    <pivotTable tabId="7" name="PivotTable10"/>
    <pivotTable tabId="7" name="PivotTable11"/>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20"/>
    <pivotTable tabId="7" name="PivotTable3"/>
    <pivotTable tabId="7" name="PivotTable4"/>
    <pivotTable tabId="7" name="PivotTable5"/>
    <pivotTable tabId="7" name="PivotTable6"/>
    <pivotTable tabId="7" name="PivotTable7"/>
    <pivotTable tabId="7" name="PivotTable8"/>
    <pivotTable tabId="7" name="PivotTable9"/>
  </pivotTables>
  <data>
    <tabular pivotCacheId="1465973766">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Name" xr10:uid="{28D4DD2A-4A32-4C2B-A8B6-F11CF57EDE92}" cache="Slicer_Branch_Name" caption="Branch Name" style="SlicerStyleLight1" rowHeight="234950"/>
  <slicer name="Branch Name 2" xr10:uid="{541EFE3C-9913-46FD-A264-39F95EAF0281}" cache="Slicer_Branch_Name" caption="Branch Name" style="SlicerStyleLight1" rowHeight="234950"/>
  <slicer name="Payment Mode" xr10:uid="{9E2C327B-CD6E-490D-A879-AC7C3FF875ED}" cache="Slicer_Payment_Mode" caption="Payment Mode" style="SlicerStyleLight1" rowHeight="234950"/>
  <slicer name="Transaction Type" xr10:uid="{1818C345-7C2C-4321-B2C9-B337A44E95ED}" cache="Slicer_Transaction_Type" caption="Transaction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Name 1" xr10:uid="{8037BFC5-A072-43CB-AAD7-3466993082A7}" cache="Slicer_Branch_Name" caption="Branch Name" startItem="11" style="SlicerStyleDark1 2" rowHeight="234950"/>
  <slicer name="Payment Mode 1" xr10:uid="{1C3F3F8B-0A2F-4BB6-BE4D-91917E361ADF}" cache="Slicer_Payment_Mode" caption="Payment Mode" style="SlicerStyleDark1 6" rowHeight="234950"/>
  <slicer name="Transaction Type 1" xr10:uid="{C87D29EF-C2E0-46CC-B353-B14BAEF78912}" cache="Slicer_Transaction_Type" caption="Transaction Type" style="SlicerStyleDark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50CC79-9C60-4FF5-928E-9C9C4B36320A}" name="Sheet1__2" displayName="Sheet1__2" ref="A1:T1000" tableType="queryTable" totalsRowShown="0">
  <autoFilter ref="A1:T1000" xr:uid="{A050CC79-9C60-4FF5-928E-9C9C4B36320A}"/>
  <tableColumns count="20">
    <tableColumn id="1" xr3:uid="{2C54A325-A46B-4C8D-ABCD-1F853379AA90}" uniqueName="1" name="Transaction ID" queryTableFieldId="1" dataDxfId="14"/>
    <tableColumn id="2" xr3:uid="{9D456E45-B31B-4BE5-AC47-B9C5F17DBB36}" uniqueName="2" name="Customer ID" queryTableFieldId="2"/>
    <tableColumn id="3" xr3:uid="{49055CAE-7114-4804-A1F1-02DBA84CFB7C}" uniqueName="3" name="Customer Name" queryTableFieldId="3" dataDxfId="13"/>
    <tableColumn id="4" xr3:uid="{A023C2A0-A4B7-4E8A-9BAB-EE6D4B480AF8}" uniqueName="4" name="Account Number" queryTableFieldId="4"/>
    <tableColumn id="5" xr3:uid="{E6624FE2-CEAD-4E34-99AA-145E00A60224}" uniqueName="5" name="Region" queryTableFieldId="5" dataDxfId="12"/>
    <tableColumn id="6" xr3:uid="{AAC2CF02-D654-4FAA-95A2-80B50AF69A0B}" uniqueName="6" name="City" queryTableFieldId="6" dataDxfId="11"/>
    <tableColumn id="7" xr3:uid="{619B2B81-4FA3-4DA7-BFAE-6A4ABEF40624}" uniqueName="7" name="Branch Name" queryTableFieldId="7" dataDxfId="10"/>
    <tableColumn id="8" xr3:uid="{A6AEA485-4B18-40C4-8029-35E372AEA929}" uniqueName="8" name="Account Type" queryTableFieldId="8" dataDxfId="9"/>
    <tableColumn id="9" xr3:uid="{1A5EB04A-0D13-435A-84EA-F12654FD4B14}" uniqueName="9" name="Transaction Type" queryTableFieldId="9" dataDxfId="8"/>
    <tableColumn id="10" xr3:uid="{B28AAF2A-9996-423F-AD1D-A1E75BC0F46C}" uniqueName="10" name="Transaction Amount" queryTableFieldId="10"/>
    <tableColumn id="11" xr3:uid="{34664C3B-11C6-4F08-8B42-6F0AA59FD7E6}" uniqueName="11" name="Payment Mode" queryTableFieldId="11" dataDxfId="7"/>
    <tableColumn id="12" xr3:uid="{056DC8AD-576F-4CEA-AFF3-ED4725A43006}" uniqueName="12" name="Transaction Date" queryTableFieldId="12" dataDxfId="6"/>
    <tableColumn id="13" xr3:uid="{D74602A7-CA4D-4CDF-A361-43A7D19A6B4A}" uniqueName="13" name="Transaction Status" queryTableFieldId="13" dataDxfId="5"/>
    <tableColumn id="14" xr3:uid="{E471C226-2A61-4D09-ACEB-5C5C71072EFD}" uniqueName="14" name="Balance After Txn" queryTableFieldId="14"/>
    <tableColumn id="15" xr3:uid="{A90D6C60-3AC1-48DE-B0E9-A369E6884E54}" uniqueName="15" name="Is Fraud" queryTableFieldId="15" dataDxfId="4"/>
    <tableColumn id="16" xr3:uid="{D437E698-842A-4C1F-B6AB-56831FBA45FA}" uniqueName="16" name="year_month" queryTableFieldId="16" dataDxfId="3"/>
    <tableColumn id="17" xr3:uid="{3AA8D96E-796A-4CC8-AEBF-CE95BA5C55A1}" uniqueName="17" name="Net Change" queryTableFieldId="17"/>
    <tableColumn id="18" xr3:uid="{CEDE3C4A-3F89-4D7F-A35E-4078A37D51DD}" uniqueName="18" name="Fraud Flag" queryTableFieldId="18"/>
    <tableColumn id="19" xr3:uid="{088AF636-8D1E-4A37-8F9E-CECBBABCA701}" uniqueName="19" name="Transaction Category" queryTableFieldId="19" dataDxfId="2"/>
    <tableColumn id="20" xr3:uid="{B7C9E34A-4FCC-4EC1-8581-CDAAF22A2B91}" uniqueName="20" name="Customer Type" queryTableFieldId="20" dataDxfId="1"/>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FDF90-B7A5-4341-ACA6-41492D66A27F}">
  <dimension ref="A1:T1000"/>
  <sheetViews>
    <sheetView workbookViewId="0"/>
  </sheetViews>
  <sheetFormatPr defaultRowHeight="14.4" x14ac:dyDescent="0.3"/>
  <cols>
    <col min="1" max="1" width="36.33203125" bestFit="1" customWidth="1"/>
    <col min="2" max="2" width="13.5546875" bestFit="1" customWidth="1"/>
    <col min="3" max="3" width="22.44140625" bestFit="1" customWidth="1"/>
    <col min="4" max="4" width="17.6640625" bestFit="1" customWidth="1"/>
    <col min="5" max="5" width="9" bestFit="1" customWidth="1"/>
    <col min="6" max="6" width="12" bestFit="1" customWidth="1"/>
    <col min="7" max="7" width="18.33203125" bestFit="1" customWidth="1"/>
    <col min="8" max="8" width="15.44140625" bestFit="1" customWidth="1"/>
    <col min="9" max="9" width="17.6640625" bestFit="1" customWidth="1"/>
    <col min="10" max="10" width="20.5546875" bestFit="1" customWidth="1"/>
    <col min="11" max="11" width="16.33203125" bestFit="1" customWidth="1"/>
    <col min="12" max="12" width="17.44140625" bestFit="1" customWidth="1"/>
    <col min="13" max="13" width="18.77734375" bestFit="1" customWidth="1"/>
    <col min="14" max="14" width="18" bestFit="1" customWidth="1"/>
    <col min="15" max="15" width="9.77734375" bestFit="1" customWidth="1"/>
    <col min="16" max="16" width="13.5546875" bestFit="1" customWidth="1"/>
    <col min="17" max="17" width="13" bestFit="1" customWidth="1"/>
    <col min="18" max="18" width="11.77734375" bestFit="1" customWidth="1"/>
    <col min="19" max="19" width="21.21875" bestFit="1" customWidth="1"/>
    <col min="20" max="20" width="16"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1090</v>
      </c>
      <c r="R1" t="s">
        <v>1091</v>
      </c>
      <c r="S1" t="s">
        <v>1092</v>
      </c>
      <c r="T1" t="s">
        <v>1093</v>
      </c>
    </row>
    <row r="2" spans="1:20" x14ac:dyDescent="0.3">
      <c r="A2" t="s">
        <v>16</v>
      </c>
      <c r="B2">
        <v>989374</v>
      </c>
      <c r="C2" t="s">
        <v>17</v>
      </c>
      <c r="D2">
        <v>748642976223</v>
      </c>
      <c r="E2" t="s">
        <v>18</v>
      </c>
      <c r="F2" t="s">
        <v>19</v>
      </c>
      <c r="G2" t="s">
        <v>20</v>
      </c>
      <c r="H2" t="s">
        <v>21</v>
      </c>
      <c r="I2" t="s">
        <v>22</v>
      </c>
      <c r="J2">
        <v>489850.94</v>
      </c>
      <c r="K2" t="s">
        <v>23</v>
      </c>
      <c r="L2" s="10">
        <v>45756</v>
      </c>
      <c r="M2" t="s">
        <v>24</v>
      </c>
      <c r="N2">
        <v>2330149</v>
      </c>
      <c r="O2" t="s">
        <v>25</v>
      </c>
      <c r="P2" s="10">
        <v>45748</v>
      </c>
      <c r="Q2">
        <v>489850.94</v>
      </c>
      <c r="R2">
        <v>0</v>
      </c>
      <c r="S2" t="s">
        <v>1097</v>
      </c>
      <c r="T2" t="s">
        <v>1095</v>
      </c>
    </row>
    <row r="3" spans="1:20" x14ac:dyDescent="0.3">
      <c r="A3" t="s">
        <v>26</v>
      </c>
      <c r="B3">
        <v>945035</v>
      </c>
      <c r="C3" t="s">
        <v>27</v>
      </c>
      <c r="D3">
        <v>163745963749</v>
      </c>
      <c r="E3" t="s">
        <v>28</v>
      </c>
      <c r="F3" t="s">
        <v>29</v>
      </c>
      <c r="G3" t="s">
        <v>30</v>
      </c>
      <c r="H3" t="s">
        <v>31</v>
      </c>
      <c r="I3" t="s">
        <v>22</v>
      </c>
      <c r="J3">
        <v>427397.73</v>
      </c>
      <c r="K3" t="s">
        <v>32</v>
      </c>
      <c r="L3" s="10">
        <v>45228</v>
      </c>
      <c r="M3" t="s">
        <v>24</v>
      </c>
      <c r="N3">
        <v>1668521.67</v>
      </c>
      <c r="O3" t="s">
        <v>25</v>
      </c>
      <c r="P3" s="10">
        <v>45200</v>
      </c>
      <c r="Q3">
        <v>427397.73</v>
      </c>
      <c r="R3">
        <v>0</v>
      </c>
      <c r="S3" t="s">
        <v>1098</v>
      </c>
      <c r="T3" t="s">
        <v>1095</v>
      </c>
    </row>
    <row r="4" spans="1:20" x14ac:dyDescent="0.3">
      <c r="A4" t="s">
        <v>33</v>
      </c>
      <c r="B4">
        <v>934360</v>
      </c>
      <c r="C4" t="s">
        <v>34</v>
      </c>
      <c r="D4">
        <v>193406494234</v>
      </c>
      <c r="E4" t="s">
        <v>35</v>
      </c>
      <c r="F4" t="s">
        <v>36</v>
      </c>
      <c r="G4" t="s">
        <v>37</v>
      </c>
      <c r="H4" t="s">
        <v>21</v>
      </c>
      <c r="I4" t="s">
        <v>38</v>
      </c>
      <c r="J4">
        <v>110664.95</v>
      </c>
      <c r="K4" t="s">
        <v>39</v>
      </c>
      <c r="L4" s="10">
        <v>45373</v>
      </c>
      <c r="M4" t="s">
        <v>24</v>
      </c>
      <c r="N4">
        <v>853196.4800000001</v>
      </c>
      <c r="O4" t="s">
        <v>25</v>
      </c>
      <c r="P4" s="10">
        <v>45352</v>
      </c>
      <c r="Q4">
        <v>-110664.95</v>
      </c>
      <c r="R4">
        <v>0</v>
      </c>
      <c r="S4" t="s">
        <v>1098</v>
      </c>
      <c r="T4" t="s">
        <v>1095</v>
      </c>
    </row>
    <row r="5" spans="1:20" x14ac:dyDescent="0.3">
      <c r="A5" t="s">
        <v>40</v>
      </c>
      <c r="B5">
        <v>570696</v>
      </c>
      <c r="C5" t="s">
        <v>41</v>
      </c>
      <c r="D5">
        <v>170817762643</v>
      </c>
      <c r="E5" t="s">
        <v>35</v>
      </c>
      <c r="F5" t="s">
        <v>42</v>
      </c>
      <c r="G5" t="s">
        <v>43</v>
      </c>
      <c r="H5" t="s">
        <v>31</v>
      </c>
      <c r="I5" t="s">
        <v>22</v>
      </c>
      <c r="J5">
        <v>121505.31</v>
      </c>
      <c r="K5" t="s">
        <v>23</v>
      </c>
      <c r="L5" s="10">
        <v>45646</v>
      </c>
      <c r="M5" t="s">
        <v>24</v>
      </c>
      <c r="N5">
        <v>926115.91999999993</v>
      </c>
      <c r="O5" t="s">
        <v>25</v>
      </c>
      <c r="P5" s="10">
        <v>45627</v>
      </c>
      <c r="Q5">
        <v>121505.31</v>
      </c>
      <c r="R5">
        <v>0</v>
      </c>
      <c r="S5" t="s">
        <v>1097</v>
      </c>
      <c r="T5" t="s">
        <v>1095</v>
      </c>
    </row>
    <row r="6" spans="1:20" x14ac:dyDescent="0.3">
      <c r="A6" t="s">
        <v>44</v>
      </c>
      <c r="B6">
        <v>975319</v>
      </c>
      <c r="C6" t="s">
        <v>45</v>
      </c>
      <c r="D6">
        <v>319075165406</v>
      </c>
      <c r="E6" t="s">
        <v>18</v>
      </c>
      <c r="F6" t="s">
        <v>46</v>
      </c>
      <c r="G6" t="s">
        <v>47</v>
      </c>
      <c r="H6" t="s">
        <v>21</v>
      </c>
      <c r="I6" t="s">
        <v>48</v>
      </c>
      <c r="J6">
        <v>11528.19</v>
      </c>
      <c r="K6" t="s">
        <v>49</v>
      </c>
      <c r="L6" s="10">
        <v>45506</v>
      </c>
      <c r="M6" t="s">
        <v>50</v>
      </c>
      <c r="N6">
        <v>534430.57999999996</v>
      </c>
      <c r="O6" t="s">
        <v>25</v>
      </c>
      <c r="P6" s="10">
        <v>45505</v>
      </c>
      <c r="Q6">
        <v>11528.19</v>
      </c>
      <c r="R6">
        <v>0</v>
      </c>
      <c r="S6" t="s">
        <v>1098</v>
      </c>
      <c r="T6" t="s">
        <v>1095</v>
      </c>
    </row>
    <row r="7" spans="1:20" x14ac:dyDescent="0.3">
      <c r="A7" t="s">
        <v>51</v>
      </c>
      <c r="B7">
        <v>895736</v>
      </c>
      <c r="C7" t="s">
        <v>52</v>
      </c>
      <c r="D7">
        <v>253605159009</v>
      </c>
      <c r="E7" t="s">
        <v>18</v>
      </c>
      <c r="F7" t="s">
        <v>46</v>
      </c>
      <c r="G7" t="s">
        <v>47</v>
      </c>
      <c r="H7" t="s">
        <v>31</v>
      </c>
      <c r="I7" t="s">
        <v>53</v>
      </c>
      <c r="J7">
        <v>458663.48</v>
      </c>
      <c r="K7" t="s">
        <v>49</v>
      </c>
      <c r="L7" s="10">
        <v>45453</v>
      </c>
      <c r="M7" t="s">
        <v>24</v>
      </c>
      <c r="N7">
        <v>2011952.25</v>
      </c>
      <c r="O7" t="s">
        <v>25</v>
      </c>
      <c r="P7" s="10">
        <v>45444</v>
      </c>
      <c r="Q7">
        <v>458663.48</v>
      </c>
      <c r="R7">
        <v>0</v>
      </c>
      <c r="S7" t="s">
        <v>1098</v>
      </c>
      <c r="T7" t="s">
        <v>1095</v>
      </c>
    </row>
    <row r="8" spans="1:20" x14ac:dyDescent="0.3">
      <c r="A8" t="s">
        <v>54</v>
      </c>
      <c r="B8">
        <v>390841</v>
      </c>
      <c r="C8" t="s">
        <v>55</v>
      </c>
      <c r="D8">
        <v>945930618441</v>
      </c>
      <c r="E8" t="s">
        <v>18</v>
      </c>
      <c r="F8" t="s">
        <v>56</v>
      </c>
      <c r="G8" t="s">
        <v>57</v>
      </c>
      <c r="H8" t="s">
        <v>21</v>
      </c>
      <c r="I8" t="s">
        <v>53</v>
      </c>
      <c r="J8">
        <v>294460.92</v>
      </c>
      <c r="K8" t="s">
        <v>39</v>
      </c>
      <c r="L8" s="10">
        <v>45577</v>
      </c>
      <c r="M8" t="s">
        <v>24</v>
      </c>
      <c r="N8">
        <v>1713155.09</v>
      </c>
      <c r="O8" t="s">
        <v>25</v>
      </c>
      <c r="P8" s="10">
        <v>45566</v>
      </c>
      <c r="Q8">
        <v>294460.92</v>
      </c>
      <c r="R8">
        <v>0</v>
      </c>
      <c r="S8" t="s">
        <v>1098</v>
      </c>
      <c r="T8" t="s">
        <v>1095</v>
      </c>
    </row>
    <row r="9" spans="1:20" x14ac:dyDescent="0.3">
      <c r="A9" t="s">
        <v>58</v>
      </c>
      <c r="B9">
        <v>538077</v>
      </c>
      <c r="C9" t="s">
        <v>59</v>
      </c>
      <c r="D9">
        <v>960946735259</v>
      </c>
      <c r="E9" t="s">
        <v>35</v>
      </c>
      <c r="F9" t="s">
        <v>60</v>
      </c>
      <c r="G9" t="s">
        <v>61</v>
      </c>
      <c r="H9" t="s">
        <v>31</v>
      </c>
      <c r="I9" t="s">
        <v>22</v>
      </c>
      <c r="J9">
        <v>70209.02</v>
      </c>
      <c r="K9" t="s">
        <v>49</v>
      </c>
      <c r="L9" s="10">
        <v>45436</v>
      </c>
      <c r="M9" t="s">
        <v>24</v>
      </c>
      <c r="N9">
        <v>1053966.8899999999</v>
      </c>
      <c r="O9" t="s">
        <v>25</v>
      </c>
      <c r="P9" s="10">
        <v>45413</v>
      </c>
      <c r="Q9">
        <v>70209.02</v>
      </c>
      <c r="R9">
        <v>0</v>
      </c>
      <c r="S9" t="s">
        <v>1098</v>
      </c>
      <c r="T9" t="s">
        <v>1095</v>
      </c>
    </row>
    <row r="10" spans="1:20" x14ac:dyDescent="0.3">
      <c r="A10" t="s">
        <v>62</v>
      </c>
      <c r="B10">
        <v>536413</v>
      </c>
      <c r="C10" t="s">
        <v>63</v>
      </c>
      <c r="D10">
        <v>920065850736</v>
      </c>
      <c r="E10" t="s">
        <v>64</v>
      </c>
      <c r="F10" t="s">
        <v>65</v>
      </c>
      <c r="G10" t="s">
        <v>66</v>
      </c>
      <c r="H10" t="s">
        <v>67</v>
      </c>
      <c r="I10" t="s">
        <v>22</v>
      </c>
      <c r="J10">
        <v>305297.37</v>
      </c>
      <c r="K10" t="s">
        <v>32</v>
      </c>
      <c r="L10" s="10">
        <v>45531</v>
      </c>
      <c r="M10" t="s">
        <v>24</v>
      </c>
      <c r="N10">
        <v>2242547.87</v>
      </c>
      <c r="O10" t="s">
        <v>25</v>
      </c>
      <c r="P10" s="10">
        <v>45505</v>
      </c>
      <c r="Q10">
        <v>305297.37</v>
      </c>
      <c r="R10">
        <v>0</v>
      </c>
      <c r="S10" t="s">
        <v>1098</v>
      </c>
      <c r="T10" t="s">
        <v>1095</v>
      </c>
    </row>
    <row r="11" spans="1:20" x14ac:dyDescent="0.3">
      <c r="A11" t="s">
        <v>68</v>
      </c>
      <c r="B11">
        <v>706008</v>
      </c>
      <c r="C11" t="s">
        <v>69</v>
      </c>
      <c r="D11">
        <v>246399826650</v>
      </c>
      <c r="E11" t="s">
        <v>18</v>
      </c>
      <c r="F11" t="s">
        <v>56</v>
      </c>
      <c r="G11" t="s">
        <v>57</v>
      </c>
      <c r="H11" t="s">
        <v>70</v>
      </c>
      <c r="I11" t="s">
        <v>48</v>
      </c>
      <c r="J11">
        <v>79976.37</v>
      </c>
      <c r="K11" t="s">
        <v>32</v>
      </c>
      <c r="L11" s="10">
        <v>45273</v>
      </c>
      <c r="M11" t="s">
        <v>24</v>
      </c>
      <c r="N11">
        <v>1766313.5</v>
      </c>
      <c r="O11" t="s">
        <v>25</v>
      </c>
      <c r="P11" s="10">
        <v>45261</v>
      </c>
      <c r="Q11">
        <v>79976.37</v>
      </c>
      <c r="R11">
        <v>0</v>
      </c>
      <c r="S11" t="s">
        <v>1098</v>
      </c>
      <c r="T11" t="s">
        <v>1095</v>
      </c>
    </row>
    <row r="12" spans="1:20" x14ac:dyDescent="0.3">
      <c r="A12" t="s">
        <v>71</v>
      </c>
      <c r="B12">
        <v>615941</v>
      </c>
      <c r="C12" t="s">
        <v>72</v>
      </c>
      <c r="D12">
        <v>269059820502</v>
      </c>
      <c r="E12" t="s">
        <v>35</v>
      </c>
      <c r="F12" t="s">
        <v>73</v>
      </c>
      <c r="G12" t="s">
        <v>74</v>
      </c>
      <c r="H12" t="s">
        <v>67</v>
      </c>
      <c r="I12" t="s">
        <v>22</v>
      </c>
      <c r="J12">
        <v>426427.56</v>
      </c>
      <c r="K12" t="s">
        <v>49</v>
      </c>
      <c r="L12" s="10">
        <v>45121</v>
      </c>
      <c r="M12" t="s">
        <v>24</v>
      </c>
      <c r="N12">
        <v>836675.46</v>
      </c>
      <c r="O12" t="s">
        <v>25</v>
      </c>
      <c r="P12" s="10">
        <v>45108</v>
      </c>
      <c r="Q12">
        <v>426427.56</v>
      </c>
      <c r="R12">
        <v>0</v>
      </c>
      <c r="S12" t="s">
        <v>1098</v>
      </c>
      <c r="T12" t="s">
        <v>1095</v>
      </c>
    </row>
    <row r="13" spans="1:20" x14ac:dyDescent="0.3">
      <c r="A13" t="s">
        <v>75</v>
      </c>
      <c r="B13">
        <v>565614</v>
      </c>
      <c r="C13" t="s">
        <v>76</v>
      </c>
      <c r="D13">
        <v>682739590821</v>
      </c>
      <c r="E13" t="s">
        <v>35</v>
      </c>
      <c r="F13" t="s">
        <v>36</v>
      </c>
      <c r="G13" t="s">
        <v>37</v>
      </c>
      <c r="H13" t="s">
        <v>21</v>
      </c>
      <c r="I13" t="s">
        <v>22</v>
      </c>
      <c r="J13">
        <v>484637.66</v>
      </c>
      <c r="K13" t="s">
        <v>39</v>
      </c>
      <c r="L13" s="10">
        <v>45485</v>
      </c>
      <c r="M13" t="s">
        <v>50</v>
      </c>
      <c r="N13">
        <v>1552234.03</v>
      </c>
      <c r="O13" t="s">
        <v>25</v>
      </c>
      <c r="P13" s="10">
        <v>45474</v>
      </c>
      <c r="Q13">
        <v>484637.66</v>
      </c>
      <c r="R13">
        <v>0</v>
      </c>
      <c r="S13" t="s">
        <v>1098</v>
      </c>
      <c r="T13" t="s">
        <v>1095</v>
      </c>
    </row>
    <row r="14" spans="1:20" x14ac:dyDescent="0.3">
      <c r="A14" t="s">
        <v>77</v>
      </c>
      <c r="B14">
        <v>161024</v>
      </c>
      <c r="C14" t="s">
        <v>78</v>
      </c>
      <c r="D14">
        <v>257920784326</v>
      </c>
      <c r="E14" t="s">
        <v>28</v>
      </c>
      <c r="F14" t="s">
        <v>79</v>
      </c>
      <c r="G14" t="s">
        <v>80</v>
      </c>
      <c r="H14" t="s">
        <v>31</v>
      </c>
      <c r="I14" t="s">
        <v>22</v>
      </c>
      <c r="J14">
        <v>578105.66</v>
      </c>
      <c r="K14" t="s">
        <v>32</v>
      </c>
      <c r="L14" s="10">
        <v>45243</v>
      </c>
      <c r="M14" t="s">
        <v>24</v>
      </c>
      <c r="N14">
        <v>2235418.34</v>
      </c>
      <c r="O14" t="s">
        <v>25</v>
      </c>
      <c r="P14" s="10">
        <v>45231</v>
      </c>
      <c r="Q14">
        <v>578105.66</v>
      </c>
      <c r="R14">
        <v>0</v>
      </c>
      <c r="S14" t="s">
        <v>1098</v>
      </c>
      <c r="T14" t="s">
        <v>1095</v>
      </c>
    </row>
    <row r="15" spans="1:20" x14ac:dyDescent="0.3">
      <c r="A15" t="s">
        <v>81</v>
      </c>
      <c r="B15">
        <v>915727</v>
      </c>
      <c r="C15" t="s">
        <v>82</v>
      </c>
      <c r="D15">
        <v>866173303309</v>
      </c>
      <c r="E15" t="s">
        <v>64</v>
      </c>
      <c r="F15" t="s">
        <v>83</v>
      </c>
      <c r="G15" t="s">
        <v>84</v>
      </c>
      <c r="H15" t="s">
        <v>70</v>
      </c>
      <c r="I15" t="s">
        <v>48</v>
      </c>
      <c r="J15">
        <v>285270.90000000002</v>
      </c>
      <c r="K15" t="s">
        <v>23</v>
      </c>
      <c r="L15" s="10">
        <v>45837</v>
      </c>
      <c r="M15" t="s">
        <v>24</v>
      </c>
      <c r="N15">
        <v>900185.58000000007</v>
      </c>
      <c r="O15" t="s">
        <v>25</v>
      </c>
      <c r="P15" s="10">
        <v>45809</v>
      </c>
      <c r="Q15">
        <v>285270.90000000002</v>
      </c>
      <c r="R15">
        <v>0</v>
      </c>
      <c r="S15" t="s">
        <v>1097</v>
      </c>
      <c r="T15" t="s">
        <v>1095</v>
      </c>
    </row>
    <row r="16" spans="1:20" x14ac:dyDescent="0.3">
      <c r="A16" t="s">
        <v>85</v>
      </c>
      <c r="B16">
        <v>330649</v>
      </c>
      <c r="C16" t="s">
        <v>86</v>
      </c>
      <c r="D16">
        <v>725385591832</v>
      </c>
      <c r="E16" t="s">
        <v>18</v>
      </c>
      <c r="F16" t="s">
        <v>87</v>
      </c>
      <c r="G16" t="s">
        <v>88</v>
      </c>
      <c r="H16" t="s">
        <v>67</v>
      </c>
      <c r="I16" t="s">
        <v>22</v>
      </c>
      <c r="J16">
        <v>419114.61</v>
      </c>
      <c r="K16" t="s">
        <v>32</v>
      </c>
      <c r="L16" s="10">
        <v>45158</v>
      </c>
      <c r="M16" t="s">
        <v>24</v>
      </c>
      <c r="N16">
        <v>2296120.29</v>
      </c>
      <c r="O16" t="s">
        <v>25</v>
      </c>
      <c r="P16" s="10">
        <v>45139</v>
      </c>
      <c r="Q16">
        <v>419114.61</v>
      </c>
      <c r="R16">
        <v>0</v>
      </c>
      <c r="S16" t="s">
        <v>1098</v>
      </c>
      <c r="T16" t="s">
        <v>1095</v>
      </c>
    </row>
    <row r="17" spans="1:20" x14ac:dyDescent="0.3">
      <c r="A17" t="s">
        <v>89</v>
      </c>
      <c r="B17">
        <v>128757</v>
      </c>
      <c r="C17" t="s">
        <v>90</v>
      </c>
      <c r="D17">
        <v>129825978524</v>
      </c>
      <c r="E17" t="s">
        <v>91</v>
      </c>
      <c r="F17" t="s">
        <v>92</v>
      </c>
      <c r="G17" t="s">
        <v>93</v>
      </c>
      <c r="H17" t="s">
        <v>21</v>
      </c>
      <c r="I17" t="s">
        <v>48</v>
      </c>
      <c r="J17">
        <v>179240.17</v>
      </c>
      <c r="K17" t="s">
        <v>49</v>
      </c>
      <c r="L17" s="10">
        <v>45394</v>
      </c>
      <c r="M17" t="s">
        <v>24</v>
      </c>
      <c r="N17">
        <v>1836585.45</v>
      </c>
      <c r="O17" t="s">
        <v>25</v>
      </c>
      <c r="P17" s="10">
        <v>45383</v>
      </c>
      <c r="Q17">
        <v>179240.17</v>
      </c>
      <c r="R17">
        <v>0</v>
      </c>
      <c r="S17" t="s">
        <v>1098</v>
      </c>
      <c r="T17" t="s">
        <v>1095</v>
      </c>
    </row>
    <row r="18" spans="1:20" x14ac:dyDescent="0.3">
      <c r="A18" t="s">
        <v>94</v>
      </c>
      <c r="B18">
        <v>565942</v>
      </c>
      <c r="C18" t="s">
        <v>95</v>
      </c>
      <c r="D18">
        <v>154877991245</v>
      </c>
      <c r="E18" t="s">
        <v>35</v>
      </c>
      <c r="F18" t="s">
        <v>42</v>
      </c>
      <c r="G18" t="s">
        <v>43</v>
      </c>
      <c r="H18" t="s">
        <v>31</v>
      </c>
      <c r="I18" t="s">
        <v>53</v>
      </c>
      <c r="J18">
        <v>391121.9</v>
      </c>
      <c r="K18" t="s">
        <v>49</v>
      </c>
      <c r="L18" s="10">
        <v>45328</v>
      </c>
      <c r="M18" t="s">
        <v>24</v>
      </c>
      <c r="N18">
        <v>2037513.89</v>
      </c>
      <c r="O18" t="s">
        <v>25</v>
      </c>
      <c r="P18" s="10">
        <v>45323</v>
      </c>
      <c r="Q18">
        <v>391121.9</v>
      </c>
      <c r="R18">
        <v>0</v>
      </c>
      <c r="S18" t="s">
        <v>1098</v>
      </c>
      <c r="T18" t="s">
        <v>1095</v>
      </c>
    </row>
    <row r="19" spans="1:20" x14ac:dyDescent="0.3">
      <c r="A19" t="s">
        <v>96</v>
      </c>
      <c r="B19">
        <v>367162</v>
      </c>
      <c r="C19" t="s">
        <v>97</v>
      </c>
      <c r="D19">
        <v>246576120553</v>
      </c>
      <c r="E19" t="s">
        <v>28</v>
      </c>
      <c r="F19" t="s">
        <v>79</v>
      </c>
      <c r="G19" t="s">
        <v>80</v>
      </c>
      <c r="H19" t="s">
        <v>21</v>
      </c>
      <c r="I19" t="s">
        <v>48</v>
      </c>
      <c r="J19">
        <v>209237.66</v>
      </c>
      <c r="K19" t="s">
        <v>98</v>
      </c>
      <c r="L19" s="10">
        <v>45452</v>
      </c>
      <c r="M19" t="s">
        <v>24</v>
      </c>
      <c r="N19">
        <v>2140324.83</v>
      </c>
      <c r="O19" t="s">
        <v>25</v>
      </c>
      <c r="P19" s="10">
        <v>45444</v>
      </c>
      <c r="Q19">
        <v>209237.66</v>
      </c>
      <c r="R19">
        <v>0</v>
      </c>
      <c r="S19" t="s">
        <v>1098</v>
      </c>
      <c r="T19" t="s">
        <v>1095</v>
      </c>
    </row>
    <row r="20" spans="1:20" x14ac:dyDescent="0.3">
      <c r="A20" t="s">
        <v>99</v>
      </c>
      <c r="B20">
        <v>107172</v>
      </c>
      <c r="C20" t="s">
        <v>100</v>
      </c>
      <c r="D20">
        <v>475789086915</v>
      </c>
      <c r="E20" t="s">
        <v>35</v>
      </c>
      <c r="F20" t="s">
        <v>42</v>
      </c>
      <c r="G20" t="s">
        <v>43</v>
      </c>
      <c r="H20" t="s">
        <v>31</v>
      </c>
      <c r="I20" t="s">
        <v>48</v>
      </c>
      <c r="J20">
        <v>208142.17</v>
      </c>
      <c r="K20" t="s">
        <v>49</v>
      </c>
      <c r="L20" s="10">
        <v>45517</v>
      </c>
      <c r="M20" t="s">
        <v>24</v>
      </c>
      <c r="N20">
        <v>1704438.38</v>
      </c>
      <c r="O20" t="s">
        <v>25</v>
      </c>
      <c r="P20" s="10">
        <v>45505</v>
      </c>
      <c r="Q20">
        <v>208142.17</v>
      </c>
      <c r="R20">
        <v>0</v>
      </c>
      <c r="S20" t="s">
        <v>1098</v>
      </c>
      <c r="T20" t="s">
        <v>1095</v>
      </c>
    </row>
    <row r="21" spans="1:20" x14ac:dyDescent="0.3">
      <c r="A21" t="s">
        <v>101</v>
      </c>
      <c r="B21">
        <v>792128</v>
      </c>
      <c r="C21" t="s">
        <v>102</v>
      </c>
      <c r="D21">
        <v>421404337824</v>
      </c>
      <c r="E21" t="s">
        <v>18</v>
      </c>
      <c r="F21" t="s">
        <v>46</v>
      </c>
      <c r="G21" t="s">
        <v>47</v>
      </c>
      <c r="H21" t="s">
        <v>31</v>
      </c>
      <c r="I21" t="s">
        <v>38</v>
      </c>
      <c r="J21">
        <v>109602.66</v>
      </c>
      <c r="K21" t="s">
        <v>32</v>
      </c>
      <c r="L21" s="10">
        <v>45614</v>
      </c>
      <c r="M21" t="s">
        <v>24</v>
      </c>
      <c r="N21">
        <v>1407474.11</v>
      </c>
      <c r="O21" t="s">
        <v>25</v>
      </c>
      <c r="P21" s="10">
        <v>45597</v>
      </c>
      <c r="Q21">
        <v>-109602.66</v>
      </c>
      <c r="R21">
        <v>0</v>
      </c>
      <c r="S21" t="s">
        <v>1098</v>
      </c>
      <c r="T21" t="s">
        <v>1095</v>
      </c>
    </row>
    <row r="22" spans="1:20" x14ac:dyDescent="0.3">
      <c r="A22" t="s">
        <v>103</v>
      </c>
      <c r="B22">
        <v>901380</v>
      </c>
      <c r="C22" t="s">
        <v>104</v>
      </c>
      <c r="D22">
        <v>399559926548</v>
      </c>
      <c r="E22" t="s">
        <v>91</v>
      </c>
      <c r="F22" t="s">
        <v>105</v>
      </c>
      <c r="G22" t="s">
        <v>106</v>
      </c>
      <c r="H22" t="s">
        <v>21</v>
      </c>
      <c r="I22" t="s">
        <v>38</v>
      </c>
      <c r="J22">
        <v>88517.73</v>
      </c>
      <c r="K22" t="s">
        <v>98</v>
      </c>
      <c r="L22" s="10">
        <v>45695</v>
      </c>
      <c r="M22" t="s">
        <v>24</v>
      </c>
      <c r="N22">
        <v>473505.78</v>
      </c>
      <c r="O22" t="s">
        <v>25</v>
      </c>
      <c r="P22" s="10">
        <v>45689</v>
      </c>
      <c r="Q22">
        <v>-88517.73</v>
      </c>
      <c r="R22">
        <v>0</v>
      </c>
      <c r="S22" t="s">
        <v>1098</v>
      </c>
      <c r="T22" t="s">
        <v>1095</v>
      </c>
    </row>
    <row r="23" spans="1:20" x14ac:dyDescent="0.3">
      <c r="A23" t="s">
        <v>107</v>
      </c>
      <c r="B23">
        <v>877399</v>
      </c>
      <c r="C23" t="s">
        <v>108</v>
      </c>
      <c r="D23">
        <v>964797210985</v>
      </c>
      <c r="E23" t="s">
        <v>91</v>
      </c>
      <c r="F23" t="s">
        <v>109</v>
      </c>
      <c r="G23" t="s">
        <v>110</v>
      </c>
      <c r="H23" t="s">
        <v>21</v>
      </c>
      <c r="I23" t="s">
        <v>53</v>
      </c>
      <c r="J23">
        <v>415314.39</v>
      </c>
      <c r="K23" t="s">
        <v>98</v>
      </c>
      <c r="L23" s="10">
        <v>45725</v>
      </c>
      <c r="M23" t="s">
        <v>24</v>
      </c>
      <c r="N23">
        <v>1834945.27</v>
      </c>
      <c r="O23" t="s">
        <v>25</v>
      </c>
      <c r="P23" s="10">
        <v>45717</v>
      </c>
      <c r="Q23">
        <v>415314.39</v>
      </c>
      <c r="R23">
        <v>0</v>
      </c>
      <c r="S23" t="s">
        <v>1098</v>
      </c>
      <c r="T23" t="s">
        <v>1095</v>
      </c>
    </row>
    <row r="24" spans="1:20" x14ac:dyDescent="0.3">
      <c r="A24" t="s">
        <v>111</v>
      </c>
      <c r="B24">
        <v>268498</v>
      </c>
      <c r="C24" t="s">
        <v>112</v>
      </c>
      <c r="D24">
        <v>371376739219</v>
      </c>
      <c r="E24" t="s">
        <v>64</v>
      </c>
      <c r="F24" t="s">
        <v>83</v>
      </c>
      <c r="G24" t="s">
        <v>84</v>
      </c>
      <c r="H24" t="s">
        <v>21</v>
      </c>
      <c r="I24" t="s">
        <v>53</v>
      </c>
      <c r="J24">
        <v>41441.83</v>
      </c>
      <c r="K24" t="s">
        <v>49</v>
      </c>
      <c r="L24" s="10">
        <v>45570</v>
      </c>
      <c r="M24" t="s">
        <v>113</v>
      </c>
      <c r="N24">
        <v>1056408.71</v>
      </c>
      <c r="O24" t="s">
        <v>25</v>
      </c>
      <c r="P24" s="10">
        <v>45566</v>
      </c>
      <c r="Q24">
        <v>41441.83</v>
      </c>
      <c r="R24">
        <v>0</v>
      </c>
      <c r="S24" t="s">
        <v>1098</v>
      </c>
      <c r="T24" t="s">
        <v>1095</v>
      </c>
    </row>
    <row r="25" spans="1:20" x14ac:dyDescent="0.3">
      <c r="A25" t="s">
        <v>114</v>
      </c>
      <c r="B25">
        <v>509182</v>
      </c>
      <c r="C25" t="s">
        <v>115</v>
      </c>
      <c r="D25">
        <v>290112954278</v>
      </c>
      <c r="E25" t="s">
        <v>64</v>
      </c>
      <c r="F25" t="s">
        <v>65</v>
      </c>
      <c r="G25" t="s">
        <v>66</v>
      </c>
      <c r="H25" t="s">
        <v>21</v>
      </c>
      <c r="I25" t="s">
        <v>53</v>
      </c>
      <c r="J25">
        <v>342882.13</v>
      </c>
      <c r="K25" t="s">
        <v>98</v>
      </c>
      <c r="L25" s="10">
        <v>45651</v>
      </c>
      <c r="M25" t="s">
        <v>24</v>
      </c>
      <c r="N25">
        <v>540147.12</v>
      </c>
      <c r="O25" t="s">
        <v>25</v>
      </c>
      <c r="P25" s="10">
        <v>45627</v>
      </c>
      <c r="Q25">
        <v>342882.13</v>
      </c>
      <c r="R25">
        <v>0</v>
      </c>
      <c r="S25" t="s">
        <v>1098</v>
      </c>
      <c r="T25" t="s">
        <v>1095</v>
      </c>
    </row>
    <row r="26" spans="1:20" x14ac:dyDescent="0.3">
      <c r="A26" t="s">
        <v>116</v>
      </c>
      <c r="B26">
        <v>298244</v>
      </c>
      <c r="C26" t="s">
        <v>117</v>
      </c>
      <c r="D26">
        <v>977958651702</v>
      </c>
      <c r="E26" t="s">
        <v>28</v>
      </c>
      <c r="F26" t="s">
        <v>79</v>
      </c>
      <c r="G26" t="s">
        <v>80</v>
      </c>
      <c r="H26" t="s">
        <v>67</v>
      </c>
      <c r="I26" t="s">
        <v>53</v>
      </c>
      <c r="J26">
        <v>271432.19</v>
      </c>
      <c r="K26" t="s">
        <v>39</v>
      </c>
      <c r="L26" s="10">
        <v>45589</v>
      </c>
      <c r="M26" t="s">
        <v>24</v>
      </c>
      <c r="N26">
        <v>1473919.05</v>
      </c>
      <c r="O26" t="s">
        <v>25</v>
      </c>
      <c r="P26" s="10">
        <v>45566</v>
      </c>
      <c r="Q26">
        <v>271432.19</v>
      </c>
      <c r="R26">
        <v>0</v>
      </c>
      <c r="S26" t="s">
        <v>1098</v>
      </c>
      <c r="T26" t="s">
        <v>1095</v>
      </c>
    </row>
    <row r="27" spans="1:20" x14ac:dyDescent="0.3">
      <c r="A27" t="s">
        <v>118</v>
      </c>
      <c r="B27">
        <v>564685</v>
      </c>
      <c r="C27" t="s">
        <v>119</v>
      </c>
      <c r="D27">
        <v>381970890311</v>
      </c>
      <c r="E27" t="s">
        <v>64</v>
      </c>
      <c r="F27" t="s">
        <v>83</v>
      </c>
      <c r="G27" t="s">
        <v>84</v>
      </c>
      <c r="H27" t="s">
        <v>67</v>
      </c>
      <c r="I27" t="s">
        <v>53</v>
      </c>
      <c r="J27">
        <v>253021.62</v>
      </c>
      <c r="K27" t="s">
        <v>49</v>
      </c>
      <c r="L27" s="10">
        <v>45405</v>
      </c>
      <c r="M27" t="s">
        <v>24</v>
      </c>
      <c r="N27">
        <v>2087860.21</v>
      </c>
      <c r="O27" t="s">
        <v>25</v>
      </c>
      <c r="P27" s="10">
        <v>45383</v>
      </c>
      <c r="Q27">
        <v>253021.62</v>
      </c>
      <c r="R27">
        <v>0</v>
      </c>
      <c r="S27" t="s">
        <v>1098</v>
      </c>
      <c r="T27" t="s">
        <v>1095</v>
      </c>
    </row>
    <row r="28" spans="1:20" x14ac:dyDescent="0.3">
      <c r="A28" t="s">
        <v>120</v>
      </c>
      <c r="B28">
        <v>772989</v>
      </c>
      <c r="C28" t="s">
        <v>121</v>
      </c>
      <c r="D28">
        <v>753553434809</v>
      </c>
      <c r="E28" t="s">
        <v>18</v>
      </c>
      <c r="F28" t="s">
        <v>87</v>
      </c>
      <c r="G28" t="s">
        <v>88</v>
      </c>
      <c r="H28" t="s">
        <v>67</v>
      </c>
      <c r="I28" t="s">
        <v>38</v>
      </c>
      <c r="J28">
        <v>20332.900000000001</v>
      </c>
      <c r="K28" t="s">
        <v>49</v>
      </c>
      <c r="L28" s="10">
        <v>45503</v>
      </c>
      <c r="M28" t="s">
        <v>24</v>
      </c>
      <c r="N28">
        <v>343435.64</v>
      </c>
      <c r="O28" t="s">
        <v>25</v>
      </c>
      <c r="P28" s="10">
        <v>45474</v>
      </c>
      <c r="Q28">
        <v>-20332.900000000001</v>
      </c>
      <c r="R28">
        <v>0</v>
      </c>
      <c r="S28" t="s">
        <v>1098</v>
      </c>
      <c r="T28" t="s">
        <v>1095</v>
      </c>
    </row>
    <row r="29" spans="1:20" x14ac:dyDescent="0.3">
      <c r="A29" t="s">
        <v>122</v>
      </c>
      <c r="B29">
        <v>516447</v>
      </c>
      <c r="C29" t="s">
        <v>123</v>
      </c>
      <c r="D29">
        <v>173872984561</v>
      </c>
      <c r="E29" t="s">
        <v>28</v>
      </c>
      <c r="F29" t="s">
        <v>29</v>
      </c>
      <c r="G29" t="s">
        <v>30</v>
      </c>
      <c r="H29" t="s">
        <v>67</v>
      </c>
      <c r="I29" t="s">
        <v>38</v>
      </c>
      <c r="J29">
        <v>108072.78</v>
      </c>
      <c r="K29" t="s">
        <v>23</v>
      </c>
      <c r="L29" s="10">
        <v>45450</v>
      </c>
      <c r="M29" t="s">
        <v>50</v>
      </c>
      <c r="N29">
        <v>1433209.47</v>
      </c>
      <c r="O29" t="s">
        <v>25</v>
      </c>
      <c r="P29" s="10">
        <v>45444</v>
      </c>
      <c r="Q29">
        <v>-108072.78</v>
      </c>
      <c r="R29">
        <v>0</v>
      </c>
      <c r="S29" t="s">
        <v>1097</v>
      </c>
      <c r="T29" t="s">
        <v>1095</v>
      </c>
    </row>
    <row r="30" spans="1:20" x14ac:dyDescent="0.3">
      <c r="A30" t="s">
        <v>124</v>
      </c>
      <c r="B30">
        <v>171990</v>
      </c>
      <c r="C30" t="s">
        <v>125</v>
      </c>
      <c r="D30">
        <v>427472926649</v>
      </c>
      <c r="E30" t="s">
        <v>18</v>
      </c>
      <c r="F30" t="s">
        <v>87</v>
      </c>
      <c r="G30" t="s">
        <v>88</v>
      </c>
      <c r="H30" t="s">
        <v>67</v>
      </c>
      <c r="I30" t="s">
        <v>48</v>
      </c>
      <c r="J30">
        <v>248672.35</v>
      </c>
      <c r="K30" t="s">
        <v>39</v>
      </c>
      <c r="L30" s="10">
        <v>45156</v>
      </c>
      <c r="M30" t="s">
        <v>24</v>
      </c>
      <c r="N30">
        <v>838290.03999999992</v>
      </c>
      <c r="O30" t="s">
        <v>25</v>
      </c>
      <c r="P30" s="10">
        <v>45139</v>
      </c>
      <c r="Q30">
        <v>248672.35</v>
      </c>
      <c r="R30">
        <v>0</v>
      </c>
      <c r="S30" t="s">
        <v>1098</v>
      </c>
      <c r="T30" t="s">
        <v>1095</v>
      </c>
    </row>
    <row r="31" spans="1:20" x14ac:dyDescent="0.3">
      <c r="A31" t="s">
        <v>126</v>
      </c>
      <c r="B31">
        <v>217181</v>
      </c>
      <c r="C31" t="s">
        <v>127</v>
      </c>
      <c r="D31">
        <v>336318549444</v>
      </c>
      <c r="E31" t="s">
        <v>91</v>
      </c>
      <c r="F31" t="s">
        <v>109</v>
      </c>
      <c r="G31" t="s">
        <v>110</v>
      </c>
      <c r="H31" t="s">
        <v>21</v>
      </c>
      <c r="I31" t="s">
        <v>38</v>
      </c>
      <c r="J31">
        <v>29516.09</v>
      </c>
      <c r="K31" t="s">
        <v>98</v>
      </c>
      <c r="L31" s="10">
        <v>45217</v>
      </c>
      <c r="M31" t="s">
        <v>24</v>
      </c>
      <c r="N31">
        <v>1870328.71</v>
      </c>
      <c r="O31" t="s">
        <v>25</v>
      </c>
      <c r="P31" s="10">
        <v>45200</v>
      </c>
      <c r="Q31">
        <v>-29516.09</v>
      </c>
      <c r="R31">
        <v>0</v>
      </c>
      <c r="S31" t="s">
        <v>1098</v>
      </c>
      <c r="T31" t="s">
        <v>1095</v>
      </c>
    </row>
    <row r="32" spans="1:20" x14ac:dyDescent="0.3">
      <c r="A32" t="s">
        <v>128</v>
      </c>
      <c r="B32">
        <v>853995</v>
      </c>
      <c r="C32" t="s">
        <v>129</v>
      </c>
      <c r="D32">
        <v>564485035229</v>
      </c>
      <c r="E32" t="s">
        <v>91</v>
      </c>
      <c r="F32" t="s">
        <v>130</v>
      </c>
      <c r="G32" t="s">
        <v>131</v>
      </c>
      <c r="H32" t="s">
        <v>67</v>
      </c>
      <c r="I32" t="s">
        <v>22</v>
      </c>
      <c r="J32">
        <v>285994.06</v>
      </c>
      <c r="K32" t="s">
        <v>39</v>
      </c>
      <c r="L32" s="10">
        <v>45429</v>
      </c>
      <c r="M32" t="s">
        <v>24</v>
      </c>
      <c r="N32">
        <v>2159844.0099999998</v>
      </c>
      <c r="O32" t="s">
        <v>25</v>
      </c>
      <c r="P32" s="10">
        <v>45413</v>
      </c>
      <c r="Q32">
        <v>285994.06</v>
      </c>
      <c r="R32">
        <v>0</v>
      </c>
      <c r="S32" t="s">
        <v>1098</v>
      </c>
      <c r="T32" t="s">
        <v>1095</v>
      </c>
    </row>
    <row r="33" spans="1:20" x14ac:dyDescent="0.3">
      <c r="A33" t="s">
        <v>132</v>
      </c>
      <c r="B33">
        <v>433879</v>
      </c>
      <c r="C33" t="s">
        <v>133</v>
      </c>
      <c r="D33">
        <v>201493145216</v>
      </c>
      <c r="E33" t="s">
        <v>91</v>
      </c>
      <c r="F33" t="s">
        <v>92</v>
      </c>
      <c r="G33" t="s">
        <v>93</v>
      </c>
      <c r="H33" t="s">
        <v>70</v>
      </c>
      <c r="I33" t="s">
        <v>22</v>
      </c>
      <c r="J33">
        <v>374242.97</v>
      </c>
      <c r="K33" t="s">
        <v>39</v>
      </c>
      <c r="L33" s="10">
        <v>45128</v>
      </c>
      <c r="M33" t="s">
        <v>24</v>
      </c>
      <c r="N33">
        <v>1965672.23</v>
      </c>
      <c r="O33" t="s">
        <v>25</v>
      </c>
      <c r="P33" s="10">
        <v>45108</v>
      </c>
      <c r="Q33">
        <v>374242.97</v>
      </c>
      <c r="R33">
        <v>0</v>
      </c>
      <c r="S33" t="s">
        <v>1098</v>
      </c>
      <c r="T33" t="s">
        <v>1095</v>
      </c>
    </row>
    <row r="34" spans="1:20" x14ac:dyDescent="0.3">
      <c r="A34" t="s">
        <v>134</v>
      </c>
      <c r="B34">
        <v>651973</v>
      </c>
      <c r="C34" t="s">
        <v>135</v>
      </c>
      <c r="D34">
        <v>560621316956</v>
      </c>
      <c r="E34" t="s">
        <v>35</v>
      </c>
      <c r="F34" t="s">
        <v>136</v>
      </c>
      <c r="G34" t="s">
        <v>137</v>
      </c>
      <c r="H34" t="s">
        <v>31</v>
      </c>
      <c r="I34" t="s">
        <v>22</v>
      </c>
      <c r="J34">
        <v>148852.68</v>
      </c>
      <c r="K34" t="s">
        <v>39</v>
      </c>
      <c r="L34" s="10">
        <v>45796</v>
      </c>
      <c r="M34" t="s">
        <v>24</v>
      </c>
      <c r="N34">
        <v>1180170.71</v>
      </c>
      <c r="O34" t="s">
        <v>25</v>
      </c>
      <c r="P34" s="10">
        <v>45778</v>
      </c>
      <c r="Q34">
        <v>148852.68</v>
      </c>
      <c r="R34">
        <v>0</v>
      </c>
      <c r="S34" t="s">
        <v>1098</v>
      </c>
      <c r="T34" t="s">
        <v>1095</v>
      </c>
    </row>
    <row r="35" spans="1:20" x14ac:dyDescent="0.3">
      <c r="A35" t="s">
        <v>138</v>
      </c>
      <c r="B35">
        <v>743304</v>
      </c>
      <c r="C35" t="s">
        <v>139</v>
      </c>
      <c r="D35">
        <v>213916121897</v>
      </c>
      <c r="E35" t="s">
        <v>64</v>
      </c>
      <c r="F35" t="s">
        <v>65</v>
      </c>
      <c r="G35" t="s">
        <v>66</v>
      </c>
      <c r="H35" t="s">
        <v>67</v>
      </c>
      <c r="I35" t="s">
        <v>53</v>
      </c>
      <c r="J35">
        <v>101567.88</v>
      </c>
      <c r="K35" t="s">
        <v>49</v>
      </c>
      <c r="L35" s="10">
        <v>45746</v>
      </c>
      <c r="M35" t="s">
        <v>24</v>
      </c>
      <c r="N35">
        <v>199853.73</v>
      </c>
      <c r="O35" t="s">
        <v>25</v>
      </c>
      <c r="P35" s="10">
        <v>45717</v>
      </c>
      <c r="Q35">
        <v>101567.88</v>
      </c>
      <c r="R35">
        <v>0</v>
      </c>
      <c r="S35" t="s">
        <v>1098</v>
      </c>
      <c r="T35" t="s">
        <v>1095</v>
      </c>
    </row>
    <row r="36" spans="1:20" x14ac:dyDescent="0.3">
      <c r="A36" t="s">
        <v>140</v>
      </c>
      <c r="B36">
        <v>433578</v>
      </c>
      <c r="C36" t="s">
        <v>141</v>
      </c>
      <c r="D36">
        <v>524724150945</v>
      </c>
      <c r="E36" t="s">
        <v>18</v>
      </c>
      <c r="F36" t="s">
        <v>19</v>
      </c>
      <c r="G36" t="s">
        <v>20</v>
      </c>
      <c r="H36" t="s">
        <v>21</v>
      </c>
      <c r="I36" t="s">
        <v>48</v>
      </c>
      <c r="J36">
        <v>229408.77</v>
      </c>
      <c r="K36" t="s">
        <v>23</v>
      </c>
      <c r="L36" s="10">
        <v>45706</v>
      </c>
      <c r="M36" t="s">
        <v>24</v>
      </c>
      <c r="N36">
        <v>777778</v>
      </c>
      <c r="O36" t="s">
        <v>25</v>
      </c>
      <c r="P36" s="10">
        <v>45689</v>
      </c>
      <c r="Q36">
        <v>229408.77</v>
      </c>
      <c r="R36">
        <v>0</v>
      </c>
      <c r="S36" t="s">
        <v>1097</v>
      </c>
      <c r="T36" t="s">
        <v>1095</v>
      </c>
    </row>
    <row r="37" spans="1:20" x14ac:dyDescent="0.3">
      <c r="A37" t="s">
        <v>142</v>
      </c>
      <c r="B37">
        <v>335618</v>
      </c>
      <c r="C37" t="s">
        <v>143</v>
      </c>
      <c r="D37">
        <v>978676125504</v>
      </c>
      <c r="E37" t="s">
        <v>91</v>
      </c>
      <c r="F37" t="s">
        <v>105</v>
      </c>
      <c r="G37" t="s">
        <v>106</v>
      </c>
      <c r="H37" t="s">
        <v>67</v>
      </c>
      <c r="I37" t="s">
        <v>22</v>
      </c>
      <c r="J37">
        <v>66704.02</v>
      </c>
      <c r="K37" t="s">
        <v>32</v>
      </c>
      <c r="L37" s="10">
        <v>45241</v>
      </c>
      <c r="M37" t="s">
        <v>24</v>
      </c>
      <c r="N37">
        <v>183649.06</v>
      </c>
      <c r="O37" t="s">
        <v>25</v>
      </c>
      <c r="P37" s="10">
        <v>45231</v>
      </c>
      <c r="Q37">
        <v>66704.02</v>
      </c>
      <c r="R37">
        <v>0</v>
      </c>
      <c r="S37" t="s">
        <v>1098</v>
      </c>
      <c r="T37" t="s">
        <v>1095</v>
      </c>
    </row>
    <row r="38" spans="1:20" x14ac:dyDescent="0.3">
      <c r="A38" t="s">
        <v>144</v>
      </c>
      <c r="B38">
        <v>134765</v>
      </c>
      <c r="C38" t="s">
        <v>145</v>
      </c>
      <c r="D38">
        <v>580776402182</v>
      </c>
      <c r="E38" t="s">
        <v>64</v>
      </c>
      <c r="F38" t="s">
        <v>146</v>
      </c>
      <c r="G38" t="s">
        <v>147</v>
      </c>
      <c r="H38" t="s">
        <v>67</v>
      </c>
      <c r="I38" t="s">
        <v>48</v>
      </c>
      <c r="J38">
        <v>36992.14</v>
      </c>
      <c r="K38" t="s">
        <v>49</v>
      </c>
      <c r="L38" s="10">
        <v>45588</v>
      </c>
      <c r="M38" t="s">
        <v>24</v>
      </c>
      <c r="N38">
        <v>1678066.58</v>
      </c>
      <c r="O38" t="s">
        <v>25</v>
      </c>
      <c r="P38" s="10">
        <v>45566</v>
      </c>
      <c r="Q38">
        <v>36992.14</v>
      </c>
      <c r="R38">
        <v>0</v>
      </c>
      <c r="S38" t="s">
        <v>1098</v>
      </c>
      <c r="T38" t="s">
        <v>1095</v>
      </c>
    </row>
    <row r="39" spans="1:20" x14ac:dyDescent="0.3">
      <c r="A39" t="s">
        <v>148</v>
      </c>
      <c r="B39">
        <v>837453</v>
      </c>
      <c r="C39" t="s">
        <v>149</v>
      </c>
      <c r="D39">
        <v>192276969734</v>
      </c>
      <c r="E39" t="s">
        <v>28</v>
      </c>
      <c r="F39" t="s">
        <v>150</v>
      </c>
      <c r="G39" t="s">
        <v>151</v>
      </c>
      <c r="H39" t="s">
        <v>21</v>
      </c>
      <c r="I39" t="s">
        <v>53</v>
      </c>
      <c r="J39">
        <v>122297.94</v>
      </c>
      <c r="K39" t="s">
        <v>98</v>
      </c>
      <c r="L39" s="10">
        <v>45336</v>
      </c>
      <c r="M39" t="s">
        <v>24</v>
      </c>
      <c r="N39">
        <v>351667.74</v>
      </c>
      <c r="O39" t="s">
        <v>25</v>
      </c>
      <c r="P39" s="10">
        <v>45323</v>
      </c>
      <c r="Q39">
        <v>122297.94</v>
      </c>
      <c r="R39">
        <v>0</v>
      </c>
      <c r="S39" t="s">
        <v>1098</v>
      </c>
      <c r="T39" t="s">
        <v>1095</v>
      </c>
    </row>
    <row r="40" spans="1:20" x14ac:dyDescent="0.3">
      <c r="A40" t="s">
        <v>152</v>
      </c>
      <c r="B40">
        <v>212429</v>
      </c>
      <c r="C40" t="s">
        <v>153</v>
      </c>
      <c r="D40">
        <v>788289851630</v>
      </c>
      <c r="E40" t="s">
        <v>91</v>
      </c>
      <c r="F40" t="s">
        <v>92</v>
      </c>
      <c r="G40" t="s">
        <v>93</v>
      </c>
      <c r="H40" t="s">
        <v>21</v>
      </c>
      <c r="I40" t="s">
        <v>48</v>
      </c>
      <c r="J40">
        <v>270490.09999999998</v>
      </c>
      <c r="K40" t="s">
        <v>39</v>
      </c>
      <c r="L40" s="10">
        <v>45566</v>
      </c>
      <c r="M40" t="s">
        <v>24</v>
      </c>
      <c r="N40">
        <v>1171836.49</v>
      </c>
      <c r="O40" t="s">
        <v>25</v>
      </c>
      <c r="P40" s="10">
        <v>45566</v>
      </c>
      <c r="Q40">
        <v>270490.09999999998</v>
      </c>
      <c r="R40">
        <v>0</v>
      </c>
      <c r="S40" t="s">
        <v>1098</v>
      </c>
      <c r="T40" t="s">
        <v>1095</v>
      </c>
    </row>
    <row r="41" spans="1:20" x14ac:dyDescent="0.3">
      <c r="A41" t="s">
        <v>154</v>
      </c>
      <c r="B41">
        <v>652501</v>
      </c>
      <c r="C41" t="s">
        <v>155</v>
      </c>
      <c r="D41">
        <v>792670907549</v>
      </c>
      <c r="E41" t="s">
        <v>18</v>
      </c>
      <c r="F41" t="s">
        <v>156</v>
      </c>
      <c r="G41" t="s">
        <v>157</v>
      </c>
      <c r="H41" t="s">
        <v>67</v>
      </c>
      <c r="I41" t="s">
        <v>22</v>
      </c>
      <c r="J41">
        <v>51847.92</v>
      </c>
      <c r="K41" t="s">
        <v>23</v>
      </c>
      <c r="L41" s="10">
        <v>45548</v>
      </c>
      <c r="M41" t="s">
        <v>24</v>
      </c>
      <c r="N41">
        <v>930650.27</v>
      </c>
      <c r="O41" t="s">
        <v>25</v>
      </c>
      <c r="P41" s="10">
        <v>45536</v>
      </c>
      <c r="Q41">
        <v>51847.92</v>
      </c>
      <c r="R41">
        <v>0</v>
      </c>
      <c r="S41" t="s">
        <v>1097</v>
      </c>
      <c r="T41" t="s">
        <v>1095</v>
      </c>
    </row>
    <row r="42" spans="1:20" x14ac:dyDescent="0.3">
      <c r="A42" t="s">
        <v>158</v>
      </c>
      <c r="B42">
        <v>223517</v>
      </c>
      <c r="C42" t="s">
        <v>159</v>
      </c>
      <c r="D42">
        <v>709411524006</v>
      </c>
      <c r="E42" t="s">
        <v>91</v>
      </c>
      <c r="F42" t="s">
        <v>92</v>
      </c>
      <c r="G42" t="s">
        <v>93</v>
      </c>
      <c r="H42" t="s">
        <v>67</v>
      </c>
      <c r="I42" t="s">
        <v>48</v>
      </c>
      <c r="J42">
        <v>134957.76999999999</v>
      </c>
      <c r="K42" t="s">
        <v>39</v>
      </c>
      <c r="L42" s="10">
        <v>45198</v>
      </c>
      <c r="M42" t="s">
        <v>24</v>
      </c>
      <c r="N42">
        <v>604057.52</v>
      </c>
      <c r="O42" t="s">
        <v>25</v>
      </c>
      <c r="P42" s="10">
        <v>45170</v>
      </c>
      <c r="Q42">
        <v>134957.76999999999</v>
      </c>
      <c r="R42">
        <v>0</v>
      </c>
      <c r="S42" t="s">
        <v>1098</v>
      </c>
      <c r="T42" t="s">
        <v>1095</v>
      </c>
    </row>
    <row r="43" spans="1:20" x14ac:dyDescent="0.3">
      <c r="A43" t="s">
        <v>160</v>
      </c>
      <c r="B43">
        <v>875642</v>
      </c>
      <c r="C43" t="s">
        <v>161</v>
      </c>
      <c r="D43">
        <v>397885804569</v>
      </c>
      <c r="E43" t="s">
        <v>91</v>
      </c>
      <c r="F43" t="s">
        <v>162</v>
      </c>
      <c r="G43" t="s">
        <v>163</v>
      </c>
      <c r="H43" t="s">
        <v>31</v>
      </c>
      <c r="I43" t="s">
        <v>38</v>
      </c>
      <c r="J43">
        <v>58285.919999999998</v>
      </c>
      <c r="K43" t="s">
        <v>49</v>
      </c>
      <c r="L43" s="10">
        <v>45269</v>
      </c>
      <c r="M43" t="s">
        <v>24</v>
      </c>
      <c r="N43">
        <v>1596795</v>
      </c>
      <c r="O43" t="s">
        <v>25</v>
      </c>
      <c r="P43" s="10">
        <v>45261</v>
      </c>
      <c r="Q43">
        <v>-58285.919999999998</v>
      </c>
      <c r="R43">
        <v>0</v>
      </c>
      <c r="S43" t="s">
        <v>1098</v>
      </c>
      <c r="T43" t="s">
        <v>1095</v>
      </c>
    </row>
    <row r="44" spans="1:20" x14ac:dyDescent="0.3">
      <c r="A44" t="s">
        <v>164</v>
      </c>
      <c r="B44">
        <v>634610</v>
      </c>
      <c r="C44" t="s">
        <v>165</v>
      </c>
      <c r="D44">
        <v>707104940908</v>
      </c>
      <c r="E44" t="s">
        <v>64</v>
      </c>
      <c r="F44" t="s">
        <v>166</v>
      </c>
      <c r="G44" t="s">
        <v>167</v>
      </c>
      <c r="H44" t="s">
        <v>67</v>
      </c>
      <c r="I44" t="s">
        <v>38</v>
      </c>
      <c r="J44">
        <v>143215.06</v>
      </c>
      <c r="K44" t="s">
        <v>23</v>
      </c>
      <c r="L44" s="10">
        <v>45488</v>
      </c>
      <c r="M44" t="s">
        <v>168</v>
      </c>
      <c r="N44">
        <v>1345360.8</v>
      </c>
      <c r="O44" t="s">
        <v>25</v>
      </c>
      <c r="P44" s="10">
        <v>45474</v>
      </c>
      <c r="Q44">
        <v>-143215.06</v>
      </c>
      <c r="R44">
        <v>0</v>
      </c>
      <c r="S44" t="s">
        <v>1097</v>
      </c>
      <c r="T44" t="s">
        <v>1095</v>
      </c>
    </row>
    <row r="45" spans="1:20" x14ac:dyDescent="0.3">
      <c r="A45" t="s">
        <v>169</v>
      </c>
      <c r="B45">
        <v>378722</v>
      </c>
      <c r="C45" t="s">
        <v>170</v>
      </c>
      <c r="D45">
        <v>327507559769</v>
      </c>
      <c r="E45" t="s">
        <v>35</v>
      </c>
      <c r="F45" t="s">
        <v>36</v>
      </c>
      <c r="G45" t="s">
        <v>37</v>
      </c>
      <c r="H45" t="s">
        <v>70</v>
      </c>
      <c r="I45" t="s">
        <v>38</v>
      </c>
      <c r="J45">
        <v>53733.54</v>
      </c>
      <c r="K45" t="s">
        <v>49</v>
      </c>
      <c r="L45" s="10">
        <v>45438</v>
      </c>
      <c r="M45" t="s">
        <v>24</v>
      </c>
      <c r="N45">
        <v>52500.329999999987</v>
      </c>
      <c r="O45" t="s">
        <v>25</v>
      </c>
      <c r="P45" s="10">
        <v>45413</v>
      </c>
      <c r="Q45">
        <v>-53733.54</v>
      </c>
      <c r="R45">
        <v>0</v>
      </c>
      <c r="S45" t="s">
        <v>1098</v>
      </c>
      <c r="T45" t="s">
        <v>1095</v>
      </c>
    </row>
    <row r="46" spans="1:20" x14ac:dyDescent="0.3">
      <c r="A46" t="s">
        <v>171</v>
      </c>
      <c r="B46">
        <v>870934</v>
      </c>
      <c r="C46" t="s">
        <v>172</v>
      </c>
      <c r="D46">
        <v>982037976790</v>
      </c>
      <c r="E46" t="s">
        <v>91</v>
      </c>
      <c r="F46" t="s">
        <v>109</v>
      </c>
      <c r="G46" t="s">
        <v>110</v>
      </c>
      <c r="H46" t="s">
        <v>21</v>
      </c>
      <c r="I46" t="s">
        <v>22</v>
      </c>
      <c r="J46">
        <v>334428.89</v>
      </c>
      <c r="K46" t="s">
        <v>32</v>
      </c>
      <c r="L46" s="10">
        <v>45151</v>
      </c>
      <c r="M46" t="s">
        <v>24</v>
      </c>
      <c r="N46">
        <v>1019397.23</v>
      </c>
      <c r="O46" t="s">
        <v>25</v>
      </c>
      <c r="P46" s="10">
        <v>45139</v>
      </c>
      <c r="Q46">
        <v>334428.89</v>
      </c>
      <c r="R46">
        <v>0</v>
      </c>
      <c r="S46" t="s">
        <v>1098</v>
      </c>
      <c r="T46" t="s">
        <v>1095</v>
      </c>
    </row>
    <row r="47" spans="1:20" x14ac:dyDescent="0.3">
      <c r="A47" t="s">
        <v>173</v>
      </c>
      <c r="B47">
        <v>545234</v>
      </c>
      <c r="C47" t="s">
        <v>174</v>
      </c>
      <c r="D47">
        <v>702697254640</v>
      </c>
      <c r="E47" t="s">
        <v>64</v>
      </c>
      <c r="F47" t="s">
        <v>166</v>
      </c>
      <c r="G47" t="s">
        <v>167</v>
      </c>
      <c r="H47" t="s">
        <v>31</v>
      </c>
      <c r="I47" t="s">
        <v>22</v>
      </c>
      <c r="J47">
        <v>239589.03</v>
      </c>
      <c r="K47" t="s">
        <v>49</v>
      </c>
      <c r="L47" s="10">
        <v>45186</v>
      </c>
      <c r="M47" t="s">
        <v>24</v>
      </c>
      <c r="N47">
        <v>1886842.96</v>
      </c>
      <c r="O47" t="s">
        <v>25</v>
      </c>
      <c r="P47" s="10">
        <v>45170</v>
      </c>
      <c r="Q47">
        <v>239589.03</v>
      </c>
      <c r="R47">
        <v>0</v>
      </c>
      <c r="S47" t="s">
        <v>1098</v>
      </c>
      <c r="T47" t="s">
        <v>1095</v>
      </c>
    </row>
    <row r="48" spans="1:20" x14ac:dyDescent="0.3">
      <c r="A48" t="s">
        <v>175</v>
      </c>
      <c r="B48">
        <v>282725</v>
      </c>
      <c r="C48" t="s">
        <v>176</v>
      </c>
      <c r="D48">
        <v>590927660148</v>
      </c>
      <c r="E48" t="s">
        <v>64</v>
      </c>
      <c r="F48" t="s">
        <v>177</v>
      </c>
      <c r="G48" t="s">
        <v>178</v>
      </c>
      <c r="H48" t="s">
        <v>21</v>
      </c>
      <c r="I48" t="s">
        <v>53</v>
      </c>
      <c r="J48">
        <v>228752.03</v>
      </c>
      <c r="K48" t="s">
        <v>32</v>
      </c>
      <c r="L48" s="10">
        <v>45348</v>
      </c>
      <c r="M48" t="s">
        <v>24</v>
      </c>
      <c r="N48">
        <v>1606533</v>
      </c>
      <c r="O48" t="s">
        <v>179</v>
      </c>
      <c r="P48" s="10">
        <v>45323</v>
      </c>
      <c r="Q48">
        <v>228752.03</v>
      </c>
      <c r="R48">
        <v>1</v>
      </c>
      <c r="S48" t="s">
        <v>1098</v>
      </c>
      <c r="T48" t="s">
        <v>1095</v>
      </c>
    </row>
    <row r="49" spans="1:20" x14ac:dyDescent="0.3">
      <c r="A49" t="s">
        <v>180</v>
      </c>
      <c r="B49">
        <v>798832</v>
      </c>
      <c r="C49" t="s">
        <v>181</v>
      </c>
      <c r="D49">
        <v>366996690919</v>
      </c>
      <c r="E49" t="s">
        <v>64</v>
      </c>
      <c r="F49" t="s">
        <v>65</v>
      </c>
      <c r="G49" t="s">
        <v>66</v>
      </c>
      <c r="H49" t="s">
        <v>21</v>
      </c>
      <c r="I49" t="s">
        <v>53</v>
      </c>
      <c r="J49">
        <v>228603.21</v>
      </c>
      <c r="K49" t="s">
        <v>32</v>
      </c>
      <c r="L49" s="10">
        <v>45128</v>
      </c>
      <c r="M49" t="s">
        <v>24</v>
      </c>
      <c r="N49">
        <v>430998.17</v>
      </c>
      <c r="O49" t="s">
        <v>25</v>
      </c>
      <c r="P49" s="10">
        <v>45108</v>
      </c>
      <c r="Q49">
        <v>228603.21</v>
      </c>
      <c r="R49">
        <v>0</v>
      </c>
      <c r="S49" t="s">
        <v>1098</v>
      </c>
      <c r="T49" t="s">
        <v>1095</v>
      </c>
    </row>
    <row r="50" spans="1:20" x14ac:dyDescent="0.3">
      <c r="A50" t="s">
        <v>182</v>
      </c>
      <c r="B50">
        <v>693194</v>
      </c>
      <c r="C50" t="s">
        <v>183</v>
      </c>
      <c r="D50">
        <v>715222997316</v>
      </c>
      <c r="E50" t="s">
        <v>28</v>
      </c>
      <c r="F50" t="s">
        <v>79</v>
      </c>
      <c r="G50" t="s">
        <v>80</v>
      </c>
      <c r="H50" t="s">
        <v>31</v>
      </c>
      <c r="I50" t="s">
        <v>53</v>
      </c>
      <c r="J50">
        <v>241180.65</v>
      </c>
      <c r="K50" t="s">
        <v>32</v>
      </c>
      <c r="L50" s="10">
        <v>45258</v>
      </c>
      <c r="M50" t="s">
        <v>24</v>
      </c>
      <c r="N50">
        <v>820338.34</v>
      </c>
      <c r="O50" t="s">
        <v>25</v>
      </c>
      <c r="P50" s="10">
        <v>45231</v>
      </c>
      <c r="Q50">
        <v>241180.65</v>
      </c>
      <c r="R50">
        <v>0</v>
      </c>
      <c r="S50" t="s">
        <v>1098</v>
      </c>
      <c r="T50" t="s">
        <v>1095</v>
      </c>
    </row>
    <row r="51" spans="1:20" x14ac:dyDescent="0.3">
      <c r="A51" t="s">
        <v>184</v>
      </c>
      <c r="B51">
        <v>178161</v>
      </c>
      <c r="C51" t="s">
        <v>185</v>
      </c>
      <c r="D51">
        <v>850425096741</v>
      </c>
      <c r="E51" t="s">
        <v>18</v>
      </c>
      <c r="F51" t="s">
        <v>56</v>
      </c>
      <c r="G51" t="s">
        <v>57</v>
      </c>
      <c r="H51" t="s">
        <v>70</v>
      </c>
      <c r="I51" t="s">
        <v>53</v>
      </c>
      <c r="J51">
        <v>181478.37</v>
      </c>
      <c r="K51" t="s">
        <v>23</v>
      </c>
      <c r="L51" s="10">
        <v>45259</v>
      </c>
      <c r="M51" t="s">
        <v>24</v>
      </c>
      <c r="N51">
        <v>1640818.48</v>
      </c>
      <c r="O51" t="s">
        <v>25</v>
      </c>
      <c r="P51" s="10">
        <v>45231</v>
      </c>
      <c r="Q51">
        <v>181478.37</v>
      </c>
      <c r="R51">
        <v>0</v>
      </c>
      <c r="S51" t="s">
        <v>1097</v>
      </c>
      <c r="T51" t="s">
        <v>1095</v>
      </c>
    </row>
    <row r="52" spans="1:20" x14ac:dyDescent="0.3">
      <c r="A52" t="s">
        <v>186</v>
      </c>
      <c r="B52">
        <v>945986</v>
      </c>
      <c r="C52" t="s">
        <v>187</v>
      </c>
      <c r="D52">
        <v>316273586448</v>
      </c>
      <c r="E52" t="s">
        <v>64</v>
      </c>
      <c r="F52" t="s">
        <v>65</v>
      </c>
      <c r="G52" t="s">
        <v>66</v>
      </c>
      <c r="H52" t="s">
        <v>67</v>
      </c>
      <c r="I52" t="s">
        <v>48</v>
      </c>
      <c r="J52">
        <v>273414.65999999997</v>
      </c>
      <c r="K52" t="s">
        <v>32</v>
      </c>
      <c r="L52" s="10">
        <v>45712</v>
      </c>
      <c r="M52" t="s">
        <v>168</v>
      </c>
      <c r="N52">
        <v>673253.87</v>
      </c>
      <c r="O52" t="s">
        <v>25</v>
      </c>
      <c r="P52" s="10">
        <v>45689</v>
      </c>
      <c r="Q52">
        <v>273414.65999999997</v>
      </c>
      <c r="R52">
        <v>0</v>
      </c>
      <c r="S52" t="s">
        <v>1098</v>
      </c>
      <c r="T52" t="s">
        <v>1095</v>
      </c>
    </row>
    <row r="53" spans="1:20" x14ac:dyDescent="0.3">
      <c r="A53" t="s">
        <v>188</v>
      </c>
      <c r="B53">
        <v>969262</v>
      </c>
      <c r="C53" t="s">
        <v>189</v>
      </c>
      <c r="D53">
        <v>593004841860</v>
      </c>
      <c r="E53" t="s">
        <v>18</v>
      </c>
      <c r="F53" t="s">
        <v>56</v>
      </c>
      <c r="G53" t="s">
        <v>57</v>
      </c>
      <c r="H53" t="s">
        <v>70</v>
      </c>
      <c r="I53" t="s">
        <v>38</v>
      </c>
      <c r="J53">
        <v>17312.52</v>
      </c>
      <c r="K53" t="s">
        <v>23</v>
      </c>
      <c r="L53" s="10">
        <v>45798</v>
      </c>
      <c r="M53" t="s">
        <v>24</v>
      </c>
      <c r="N53">
        <v>988997.22</v>
      </c>
      <c r="O53" t="s">
        <v>179</v>
      </c>
      <c r="P53" s="10">
        <v>45778</v>
      </c>
      <c r="Q53">
        <v>-17312.52</v>
      </c>
      <c r="R53">
        <v>1</v>
      </c>
      <c r="S53" t="s">
        <v>1097</v>
      </c>
      <c r="T53" t="s">
        <v>1095</v>
      </c>
    </row>
    <row r="54" spans="1:20" x14ac:dyDescent="0.3">
      <c r="A54" t="s">
        <v>190</v>
      </c>
      <c r="B54">
        <v>624419</v>
      </c>
      <c r="C54" t="s">
        <v>191</v>
      </c>
      <c r="D54">
        <v>315927510709</v>
      </c>
      <c r="E54" t="s">
        <v>28</v>
      </c>
      <c r="F54" t="s">
        <v>192</v>
      </c>
      <c r="G54" t="s">
        <v>193</v>
      </c>
      <c r="H54" t="s">
        <v>21</v>
      </c>
      <c r="I54" t="s">
        <v>22</v>
      </c>
      <c r="J54">
        <v>320272.01</v>
      </c>
      <c r="K54" t="s">
        <v>23</v>
      </c>
      <c r="L54" s="10">
        <v>45153</v>
      </c>
      <c r="M54" t="s">
        <v>24</v>
      </c>
      <c r="N54">
        <v>855697.4</v>
      </c>
      <c r="O54" t="s">
        <v>25</v>
      </c>
      <c r="P54" s="10">
        <v>45139</v>
      </c>
      <c r="Q54">
        <v>320272.01</v>
      </c>
      <c r="R54">
        <v>0</v>
      </c>
      <c r="S54" t="s">
        <v>1097</v>
      </c>
      <c r="T54" t="s">
        <v>1095</v>
      </c>
    </row>
    <row r="55" spans="1:20" x14ac:dyDescent="0.3">
      <c r="A55" t="s">
        <v>194</v>
      </c>
      <c r="B55">
        <v>690301</v>
      </c>
      <c r="C55" t="s">
        <v>195</v>
      </c>
      <c r="D55">
        <v>726575855284</v>
      </c>
      <c r="E55" t="s">
        <v>28</v>
      </c>
      <c r="F55" t="s">
        <v>79</v>
      </c>
      <c r="G55" t="s">
        <v>80</v>
      </c>
      <c r="H55" t="s">
        <v>31</v>
      </c>
      <c r="I55" t="s">
        <v>53</v>
      </c>
      <c r="J55">
        <v>72231.47</v>
      </c>
      <c r="K55" t="s">
        <v>49</v>
      </c>
      <c r="L55" s="10">
        <v>45492</v>
      </c>
      <c r="M55" t="s">
        <v>24</v>
      </c>
      <c r="N55">
        <v>1904363.29</v>
      </c>
      <c r="O55" t="s">
        <v>25</v>
      </c>
      <c r="P55" s="10">
        <v>45474</v>
      </c>
      <c r="Q55">
        <v>72231.47</v>
      </c>
      <c r="R55">
        <v>0</v>
      </c>
      <c r="S55" t="s">
        <v>1098</v>
      </c>
      <c r="T55" t="s">
        <v>1095</v>
      </c>
    </row>
    <row r="56" spans="1:20" x14ac:dyDescent="0.3">
      <c r="A56" t="s">
        <v>196</v>
      </c>
      <c r="B56">
        <v>247721</v>
      </c>
      <c r="C56" t="s">
        <v>197</v>
      </c>
      <c r="D56">
        <v>388988910146</v>
      </c>
      <c r="E56" t="s">
        <v>35</v>
      </c>
      <c r="F56" t="s">
        <v>73</v>
      </c>
      <c r="G56" t="s">
        <v>74</v>
      </c>
      <c r="H56" t="s">
        <v>21</v>
      </c>
      <c r="I56" t="s">
        <v>38</v>
      </c>
      <c r="J56">
        <v>27223.82</v>
      </c>
      <c r="K56" t="s">
        <v>32</v>
      </c>
      <c r="L56" s="10">
        <v>45595</v>
      </c>
      <c r="M56" t="s">
        <v>24</v>
      </c>
      <c r="N56">
        <v>1584338.01</v>
      </c>
      <c r="O56" t="s">
        <v>25</v>
      </c>
      <c r="P56" s="10">
        <v>45566</v>
      </c>
      <c r="Q56">
        <v>-27223.82</v>
      </c>
      <c r="R56">
        <v>0</v>
      </c>
      <c r="S56" t="s">
        <v>1098</v>
      </c>
      <c r="T56" t="s">
        <v>1095</v>
      </c>
    </row>
    <row r="57" spans="1:20" x14ac:dyDescent="0.3">
      <c r="A57" t="s">
        <v>198</v>
      </c>
      <c r="B57">
        <v>752827</v>
      </c>
      <c r="C57" t="s">
        <v>199</v>
      </c>
      <c r="D57">
        <v>755637196899</v>
      </c>
      <c r="E57" t="s">
        <v>18</v>
      </c>
      <c r="F57" t="s">
        <v>46</v>
      </c>
      <c r="G57" t="s">
        <v>47</v>
      </c>
      <c r="H57" t="s">
        <v>21</v>
      </c>
      <c r="I57" t="s">
        <v>38</v>
      </c>
      <c r="J57">
        <v>94133.21</v>
      </c>
      <c r="K57" t="s">
        <v>23</v>
      </c>
      <c r="L57" s="10">
        <v>45804</v>
      </c>
      <c r="M57" t="s">
        <v>50</v>
      </c>
      <c r="N57">
        <v>545204.92000000004</v>
      </c>
      <c r="O57" t="s">
        <v>25</v>
      </c>
      <c r="P57" s="10">
        <v>45778</v>
      </c>
      <c r="Q57">
        <v>-94133.21</v>
      </c>
      <c r="R57">
        <v>0</v>
      </c>
      <c r="S57" t="s">
        <v>1097</v>
      </c>
      <c r="T57" t="s">
        <v>1095</v>
      </c>
    </row>
    <row r="58" spans="1:20" x14ac:dyDescent="0.3">
      <c r="A58" t="s">
        <v>200</v>
      </c>
      <c r="B58">
        <v>407754</v>
      </c>
      <c r="C58" t="s">
        <v>201</v>
      </c>
      <c r="D58">
        <v>170246566065</v>
      </c>
      <c r="E58" t="s">
        <v>64</v>
      </c>
      <c r="F58" t="s">
        <v>177</v>
      </c>
      <c r="G58" t="s">
        <v>178</v>
      </c>
      <c r="H58" t="s">
        <v>67</v>
      </c>
      <c r="I58" t="s">
        <v>53</v>
      </c>
      <c r="J58">
        <v>176352.05</v>
      </c>
      <c r="K58" t="s">
        <v>32</v>
      </c>
      <c r="L58" s="10">
        <v>45662</v>
      </c>
      <c r="M58" t="s">
        <v>24</v>
      </c>
      <c r="N58">
        <v>1754863.47</v>
      </c>
      <c r="O58" t="s">
        <v>25</v>
      </c>
      <c r="P58" s="10">
        <v>45658</v>
      </c>
      <c r="Q58">
        <v>176352.05</v>
      </c>
      <c r="R58">
        <v>0</v>
      </c>
      <c r="S58" t="s">
        <v>1098</v>
      </c>
      <c r="T58" t="s">
        <v>1095</v>
      </c>
    </row>
    <row r="59" spans="1:20" x14ac:dyDescent="0.3">
      <c r="A59" t="s">
        <v>202</v>
      </c>
      <c r="B59">
        <v>567798</v>
      </c>
      <c r="C59" t="s">
        <v>203</v>
      </c>
      <c r="D59">
        <v>582149472587</v>
      </c>
      <c r="E59" t="s">
        <v>35</v>
      </c>
      <c r="F59" t="s">
        <v>73</v>
      </c>
      <c r="G59" t="s">
        <v>74</v>
      </c>
      <c r="H59" t="s">
        <v>67</v>
      </c>
      <c r="I59" t="s">
        <v>48</v>
      </c>
      <c r="J59">
        <v>125796.18</v>
      </c>
      <c r="K59" t="s">
        <v>49</v>
      </c>
      <c r="L59" s="10">
        <v>45518</v>
      </c>
      <c r="M59" t="s">
        <v>168</v>
      </c>
      <c r="N59">
        <v>310897.05</v>
      </c>
      <c r="O59" t="s">
        <v>25</v>
      </c>
      <c r="P59" s="10">
        <v>45505</v>
      </c>
      <c r="Q59">
        <v>125796.18</v>
      </c>
      <c r="R59">
        <v>0</v>
      </c>
      <c r="S59" t="s">
        <v>1098</v>
      </c>
      <c r="T59" t="s">
        <v>1095</v>
      </c>
    </row>
    <row r="60" spans="1:20" x14ac:dyDescent="0.3">
      <c r="A60" t="s">
        <v>204</v>
      </c>
      <c r="B60">
        <v>552695</v>
      </c>
      <c r="C60" t="s">
        <v>205</v>
      </c>
      <c r="D60">
        <v>604716561890</v>
      </c>
      <c r="E60" t="s">
        <v>18</v>
      </c>
      <c r="F60" t="s">
        <v>156</v>
      </c>
      <c r="G60" t="s">
        <v>157</v>
      </c>
      <c r="H60" t="s">
        <v>70</v>
      </c>
      <c r="I60" t="s">
        <v>53</v>
      </c>
      <c r="J60">
        <v>450326.06</v>
      </c>
      <c r="K60" t="s">
        <v>98</v>
      </c>
      <c r="L60" s="10">
        <v>45651</v>
      </c>
      <c r="M60" t="s">
        <v>24</v>
      </c>
      <c r="N60">
        <v>686226.5</v>
      </c>
      <c r="O60" t="s">
        <v>25</v>
      </c>
      <c r="P60" s="10">
        <v>45627</v>
      </c>
      <c r="Q60">
        <v>450326.06</v>
      </c>
      <c r="R60">
        <v>0</v>
      </c>
      <c r="S60" t="s">
        <v>1098</v>
      </c>
      <c r="T60" t="s">
        <v>1095</v>
      </c>
    </row>
    <row r="61" spans="1:20" x14ac:dyDescent="0.3">
      <c r="A61" t="s">
        <v>206</v>
      </c>
      <c r="B61">
        <v>683741</v>
      </c>
      <c r="C61" t="s">
        <v>207</v>
      </c>
      <c r="D61">
        <v>930540134859</v>
      </c>
      <c r="E61" t="s">
        <v>28</v>
      </c>
      <c r="F61" t="s">
        <v>192</v>
      </c>
      <c r="G61" t="s">
        <v>193</v>
      </c>
      <c r="H61" t="s">
        <v>70</v>
      </c>
      <c r="I61" t="s">
        <v>22</v>
      </c>
      <c r="J61">
        <v>511661.67</v>
      </c>
      <c r="K61" t="s">
        <v>32</v>
      </c>
      <c r="L61" s="10">
        <v>45415</v>
      </c>
      <c r="M61" t="s">
        <v>24</v>
      </c>
      <c r="N61">
        <v>613016.15</v>
      </c>
      <c r="O61" t="s">
        <v>25</v>
      </c>
      <c r="P61" s="10">
        <v>45413</v>
      </c>
      <c r="Q61">
        <v>511661.67</v>
      </c>
      <c r="R61">
        <v>0</v>
      </c>
      <c r="S61" t="s">
        <v>1098</v>
      </c>
      <c r="T61" t="s">
        <v>1095</v>
      </c>
    </row>
    <row r="62" spans="1:20" x14ac:dyDescent="0.3">
      <c r="A62" t="s">
        <v>208</v>
      </c>
      <c r="B62">
        <v>553618</v>
      </c>
      <c r="C62" t="s">
        <v>209</v>
      </c>
      <c r="D62">
        <v>667033396764</v>
      </c>
      <c r="E62" t="s">
        <v>18</v>
      </c>
      <c r="F62" t="s">
        <v>56</v>
      </c>
      <c r="G62" t="s">
        <v>57</v>
      </c>
      <c r="H62" t="s">
        <v>21</v>
      </c>
      <c r="I62" t="s">
        <v>53</v>
      </c>
      <c r="J62">
        <v>188748.49</v>
      </c>
      <c r="K62" t="s">
        <v>32</v>
      </c>
      <c r="L62" s="10">
        <v>45698</v>
      </c>
      <c r="M62" t="s">
        <v>24</v>
      </c>
      <c r="N62">
        <v>631156.77</v>
      </c>
      <c r="O62" t="s">
        <v>25</v>
      </c>
      <c r="P62" s="10">
        <v>45689</v>
      </c>
      <c r="Q62">
        <v>188748.49</v>
      </c>
      <c r="R62">
        <v>0</v>
      </c>
      <c r="S62" t="s">
        <v>1098</v>
      </c>
      <c r="T62" t="s">
        <v>1095</v>
      </c>
    </row>
    <row r="63" spans="1:20" x14ac:dyDescent="0.3">
      <c r="A63" t="s">
        <v>210</v>
      </c>
      <c r="B63">
        <v>883947</v>
      </c>
      <c r="C63" t="s">
        <v>211</v>
      </c>
      <c r="D63">
        <v>261079556384</v>
      </c>
      <c r="E63" t="s">
        <v>64</v>
      </c>
      <c r="F63" t="s">
        <v>177</v>
      </c>
      <c r="G63" t="s">
        <v>178</v>
      </c>
      <c r="H63" t="s">
        <v>31</v>
      </c>
      <c r="I63" t="s">
        <v>53</v>
      </c>
      <c r="J63">
        <v>336060.86</v>
      </c>
      <c r="K63" t="s">
        <v>49</v>
      </c>
      <c r="L63" s="10">
        <v>45581</v>
      </c>
      <c r="M63" t="s">
        <v>24</v>
      </c>
      <c r="N63">
        <v>501511.86</v>
      </c>
      <c r="O63" t="s">
        <v>25</v>
      </c>
      <c r="P63" s="10">
        <v>45566</v>
      </c>
      <c r="Q63">
        <v>336060.86</v>
      </c>
      <c r="R63">
        <v>0</v>
      </c>
      <c r="S63" t="s">
        <v>1098</v>
      </c>
      <c r="T63" t="s">
        <v>1095</v>
      </c>
    </row>
    <row r="64" spans="1:20" x14ac:dyDescent="0.3">
      <c r="A64" t="s">
        <v>212</v>
      </c>
      <c r="B64">
        <v>561029</v>
      </c>
      <c r="C64" t="s">
        <v>213</v>
      </c>
      <c r="D64">
        <v>160461931506</v>
      </c>
      <c r="E64" t="s">
        <v>64</v>
      </c>
      <c r="F64" t="s">
        <v>65</v>
      </c>
      <c r="G64" t="s">
        <v>66</v>
      </c>
      <c r="H64" t="s">
        <v>31</v>
      </c>
      <c r="I64" t="s">
        <v>38</v>
      </c>
      <c r="J64">
        <v>62046.95</v>
      </c>
      <c r="K64" t="s">
        <v>98</v>
      </c>
      <c r="L64" s="10">
        <v>45666</v>
      </c>
      <c r="M64" t="s">
        <v>168</v>
      </c>
      <c r="N64">
        <v>375954.72</v>
      </c>
      <c r="O64" t="s">
        <v>25</v>
      </c>
      <c r="P64" s="10">
        <v>45658</v>
      </c>
      <c r="Q64">
        <v>-62046.95</v>
      </c>
      <c r="R64">
        <v>0</v>
      </c>
      <c r="S64" t="s">
        <v>1098</v>
      </c>
      <c r="T64" t="s">
        <v>1095</v>
      </c>
    </row>
    <row r="65" spans="1:20" x14ac:dyDescent="0.3">
      <c r="A65" t="s">
        <v>214</v>
      </c>
      <c r="B65">
        <v>123451</v>
      </c>
      <c r="C65" t="s">
        <v>215</v>
      </c>
      <c r="D65">
        <v>775194651628</v>
      </c>
      <c r="E65" t="s">
        <v>28</v>
      </c>
      <c r="F65" t="s">
        <v>216</v>
      </c>
      <c r="G65" t="s">
        <v>217</v>
      </c>
      <c r="H65" t="s">
        <v>67</v>
      </c>
      <c r="I65" t="s">
        <v>48</v>
      </c>
      <c r="J65">
        <v>186460.63</v>
      </c>
      <c r="K65" t="s">
        <v>39</v>
      </c>
      <c r="L65" s="10">
        <v>45357</v>
      </c>
      <c r="M65" t="s">
        <v>113</v>
      </c>
      <c r="N65">
        <v>687831.58000000007</v>
      </c>
      <c r="O65" t="s">
        <v>25</v>
      </c>
      <c r="P65" s="10">
        <v>45352</v>
      </c>
      <c r="Q65">
        <v>186460.63</v>
      </c>
      <c r="R65">
        <v>0</v>
      </c>
      <c r="S65" t="s">
        <v>1098</v>
      </c>
      <c r="T65" t="s">
        <v>1095</v>
      </c>
    </row>
    <row r="66" spans="1:20" x14ac:dyDescent="0.3">
      <c r="A66" t="s">
        <v>218</v>
      </c>
      <c r="B66">
        <v>932665</v>
      </c>
      <c r="C66" t="s">
        <v>219</v>
      </c>
      <c r="D66">
        <v>684612790738</v>
      </c>
      <c r="E66" t="s">
        <v>28</v>
      </c>
      <c r="F66" t="s">
        <v>216</v>
      </c>
      <c r="G66" t="s">
        <v>217</v>
      </c>
      <c r="H66" t="s">
        <v>21</v>
      </c>
      <c r="I66" t="s">
        <v>48</v>
      </c>
      <c r="J66">
        <v>10454.32</v>
      </c>
      <c r="K66" t="s">
        <v>98</v>
      </c>
      <c r="L66" s="10">
        <v>45475</v>
      </c>
      <c r="M66" t="s">
        <v>24</v>
      </c>
      <c r="N66">
        <v>167674.6</v>
      </c>
      <c r="O66" t="s">
        <v>25</v>
      </c>
      <c r="P66" s="10">
        <v>45474</v>
      </c>
      <c r="Q66">
        <v>10454.32</v>
      </c>
      <c r="R66">
        <v>0</v>
      </c>
      <c r="S66" t="s">
        <v>1098</v>
      </c>
      <c r="T66" t="s">
        <v>1095</v>
      </c>
    </row>
    <row r="67" spans="1:20" x14ac:dyDescent="0.3">
      <c r="A67" t="s">
        <v>220</v>
      </c>
      <c r="B67">
        <v>105013</v>
      </c>
      <c r="C67" t="s">
        <v>221</v>
      </c>
      <c r="D67">
        <v>244696373610</v>
      </c>
      <c r="E67" t="s">
        <v>64</v>
      </c>
      <c r="F67" t="s">
        <v>146</v>
      </c>
      <c r="G67" t="s">
        <v>147</v>
      </c>
      <c r="H67" t="s">
        <v>31</v>
      </c>
      <c r="I67" t="s">
        <v>53</v>
      </c>
      <c r="J67">
        <v>207043.55</v>
      </c>
      <c r="K67" t="s">
        <v>49</v>
      </c>
      <c r="L67" s="10">
        <v>45569</v>
      </c>
      <c r="M67" t="s">
        <v>24</v>
      </c>
      <c r="N67">
        <v>1957746.55</v>
      </c>
      <c r="O67" t="s">
        <v>25</v>
      </c>
      <c r="P67" s="10">
        <v>45566</v>
      </c>
      <c r="Q67">
        <v>207043.55</v>
      </c>
      <c r="R67">
        <v>0</v>
      </c>
      <c r="S67" t="s">
        <v>1098</v>
      </c>
      <c r="T67" t="s">
        <v>1095</v>
      </c>
    </row>
    <row r="68" spans="1:20" x14ac:dyDescent="0.3">
      <c r="A68" t="s">
        <v>222</v>
      </c>
      <c r="B68">
        <v>876150</v>
      </c>
      <c r="C68" t="s">
        <v>223</v>
      </c>
      <c r="D68">
        <v>232180677568</v>
      </c>
      <c r="E68" t="s">
        <v>64</v>
      </c>
      <c r="F68" t="s">
        <v>146</v>
      </c>
      <c r="G68" t="s">
        <v>147</v>
      </c>
      <c r="H68" t="s">
        <v>31</v>
      </c>
      <c r="I68" t="s">
        <v>48</v>
      </c>
      <c r="J68">
        <v>2685.68</v>
      </c>
      <c r="K68" t="s">
        <v>98</v>
      </c>
      <c r="L68" s="10">
        <v>45642</v>
      </c>
      <c r="M68" t="s">
        <v>24</v>
      </c>
      <c r="N68">
        <v>1087487.46</v>
      </c>
      <c r="O68" t="s">
        <v>25</v>
      </c>
      <c r="P68" s="10">
        <v>45627</v>
      </c>
      <c r="Q68">
        <v>2685.68</v>
      </c>
      <c r="R68">
        <v>0</v>
      </c>
      <c r="S68" t="s">
        <v>1098</v>
      </c>
      <c r="T68" t="s">
        <v>1095</v>
      </c>
    </row>
    <row r="69" spans="1:20" x14ac:dyDescent="0.3">
      <c r="A69" t="s">
        <v>224</v>
      </c>
      <c r="B69">
        <v>897276</v>
      </c>
      <c r="C69" t="s">
        <v>225</v>
      </c>
      <c r="D69">
        <v>189711713821</v>
      </c>
      <c r="E69" t="s">
        <v>18</v>
      </c>
      <c r="F69" t="s">
        <v>19</v>
      </c>
      <c r="G69" t="s">
        <v>20</v>
      </c>
      <c r="H69" t="s">
        <v>31</v>
      </c>
      <c r="I69" t="s">
        <v>38</v>
      </c>
      <c r="J69">
        <v>86872.7</v>
      </c>
      <c r="K69" t="s">
        <v>23</v>
      </c>
      <c r="L69" s="10">
        <v>45266</v>
      </c>
      <c r="M69" t="s">
        <v>24</v>
      </c>
      <c r="N69">
        <v>1480230.05</v>
      </c>
      <c r="O69" t="s">
        <v>25</v>
      </c>
      <c r="P69" s="10">
        <v>45261</v>
      </c>
      <c r="Q69">
        <v>-86872.7</v>
      </c>
      <c r="R69">
        <v>0</v>
      </c>
      <c r="S69" t="s">
        <v>1097</v>
      </c>
      <c r="T69" t="s">
        <v>1095</v>
      </c>
    </row>
    <row r="70" spans="1:20" x14ac:dyDescent="0.3">
      <c r="A70" t="s">
        <v>226</v>
      </c>
      <c r="B70">
        <v>817632</v>
      </c>
      <c r="C70" t="s">
        <v>227</v>
      </c>
      <c r="D70">
        <v>414860744072</v>
      </c>
      <c r="E70" t="s">
        <v>91</v>
      </c>
      <c r="F70" t="s">
        <v>162</v>
      </c>
      <c r="G70" t="s">
        <v>163</v>
      </c>
      <c r="H70" t="s">
        <v>31</v>
      </c>
      <c r="I70" t="s">
        <v>48</v>
      </c>
      <c r="J70">
        <v>254430.23</v>
      </c>
      <c r="K70" t="s">
        <v>39</v>
      </c>
      <c r="L70" s="10">
        <v>45286</v>
      </c>
      <c r="M70" t="s">
        <v>168</v>
      </c>
      <c r="N70">
        <v>506011.52</v>
      </c>
      <c r="O70" t="s">
        <v>25</v>
      </c>
      <c r="P70" s="10">
        <v>45261</v>
      </c>
      <c r="Q70">
        <v>254430.23</v>
      </c>
      <c r="R70">
        <v>0</v>
      </c>
      <c r="S70" t="s">
        <v>1098</v>
      </c>
      <c r="T70" t="s">
        <v>1095</v>
      </c>
    </row>
    <row r="71" spans="1:20" x14ac:dyDescent="0.3">
      <c r="A71" t="s">
        <v>228</v>
      </c>
      <c r="B71">
        <v>910508</v>
      </c>
      <c r="C71" t="s">
        <v>229</v>
      </c>
      <c r="D71">
        <v>726091926541</v>
      </c>
      <c r="E71" t="s">
        <v>28</v>
      </c>
      <c r="F71" t="s">
        <v>79</v>
      </c>
      <c r="G71" t="s">
        <v>80</v>
      </c>
      <c r="H71" t="s">
        <v>67</v>
      </c>
      <c r="I71" t="s">
        <v>38</v>
      </c>
      <c r="J71">
        <v>2142.71</v>
      </c>
      <c r="K71" t="s">
        <v>23</v>
      </c>
      <c r="L71" s="10">
        <v>45453</v>
      </c>
      <c r="M71" t="s">
        <v>24</v>
      </c>
      <c r="N71">
        <v>175635.71</v>
      </c>
      <c r="O71" t="s">
        <v>25</v>
      </c>
      <c r="P71" s="10">
        <v>45444</v>
      </c>
      <c r="Q71">
        <v>-2142.71</v>
      </c>
      <c r="R71">
        <v>0</v>
      </c>
      <c r="S71" t="s">
        <v>1097</v>
      </c>
      <c r="T71" t="s">
        <v>1095</v>
      </c>
    </row>
    <row r="72" spans="1:20" x14ac:dyDescent="0.3">
      <c r="A72" t="s">
        <v>230</v>
      </c>
      <c r="B72">
        <v>651220</v>
      </c>
      <c r="C72" t="s">
        <v>231</v>
      </c>
      <c r="D72">
        <v>260561696809</v>
      </c>
      <c r="E72" t="s">
        <v>28</v>
      </c>
      <c r="F72" t="s">
        <v>29</v>
      </c>
      <c r="G72" t="s">
        <v>30</v>
      </c>
      <c r="H72" t="s">
        <v>67</v>
      </c>
      <c r="I72" t="s">
        <v>38</v>
      </c>
      <c r="J72">
        <v>126982.03</v>
      </c>
      <c r="K72" t="s">
        <v>98</v>
      </c>
      <c r="L72" s="10">
        <v>45710</v>
      </c>
      <c r="M72" t="s">
        <v>24</v>
      </c>
      <c r="N72">
        <v>579930.85</v>
      </c>
      <c r="O72" t="s">
        <v>25</v>
      </c>
      <c r="P72" s="10">
        <v>45689</v>
      </c>
      <c r="Q72">
        <v>-126982.03</v>
      </c>
      <c r="R72">
        <v>0</v>
      </c>
      <c r="S72" t="s">
        <v>1098</v>
      </c>
      <c r="T72" t="s">
        <v>1095</v>
      </c>
    </row>
    <row r="73" spans="1:20" x14ac:dyDescent="0.3">
      <c r="A73" t="s">
        <v>232</v>
      </c>
      <c r="B73">
        <v>820049</v>
      </c>
      <c r="C73" t="s">
        <v>233</v>
      </c>
      <c r="D73">
        <v>939671397979</v>
      </c>
      <c r="E73" t="s">
        <v>35</v>
      </c>
      <c r="F73" t="s">
        <v>136</v>
      </c>
      <c r="G73" t="s">
        <v>137</v>
      </c>
      <c r="H73" t="s">
        <v>67</v>
      </c>
      <c r="I73" t="s">
        <v>53</v>
      </c>
      <c r="J73">
        <v>42148.13</v>
      </c>
      <c r="K73" t="s">
        <v>49</v>
      </c>
      <c r="L73" s="10">
        <v>45601</v>
      </c>
      <c r="M73" t="s">
        <v>24</v>
      </c>
      <c r="N73">
        <v>2030256.51</v>
      </c>
      <c r="O73" t="s">
        <v>25</v>
      </c>
      <c r="P73" s="10">
        <v>45597</v>
      </c>
      <c r="Q73">
        <v>42148.13</v>
      </c>
      <c r="R73">
        <v>0</v>
      </c>
      <c r="S73" t="s">
        <v>1098</v>
      </c>
      <c r="T73" t="s">
        <v>1095</v>
      </c>
    </row>
    <row r="74" spans="1:20" x14ac:dyDescent="0.3">
      <c r="A74" t="s">
        <v>234</v>
      </c>
      <c r="B74">
        <v>679021</v>
      </c>
      <c r="C74" t="s">
        <v>235</v>
      </c>
      <c r="D74">
        <v>721091509137</v>
      </c>
      <c r="E74" t="s">
        <v>35</v>
      </c>
      <c r="F74" t="s">
        <v>73</v>
      </c>
      <c r="G74" t="s">
        <v>74</v>
      </c>
      <c r="H74" t="s">
        <v>21</v>
      </c>
      <c r="I74" t="s">
        <v>53</v>
      </c>
      <c r="J74">
        <v>394326.09</v>
      </c>
      <c r="K74" t="s">
        <v>23</v>
      </c>
      <c r="L74" s="10">
        <v>45222</v>
      </c>
      <c r="M74" t="s">
        <v>24</v>
      </c>
      <c r="N74">
        <v>1896600.3</v>
      </c>
      <c r="O74" t="s">
        <v>25</v>
      </c>
      <c r="P74" s="10">
        <v>45200</v>
      </c>
      <c r="Q74">
        <v>394326.09</v>
      </c>
      <c r="R74">
        <v>0</v>
      </c>
      <c r="S74" t="s">
        <v>1097</v>
      </c>
      <c r="T74" t="s">
        <v>1095</v>
      </c>
    </row>
    <row r="75" spans="1:20" x14ac:dyDescent="0.3">
      <c r="A75" t="s">
        <v>236</v>
      </c>
      <c r="B75">
        <v>256851</v>
      </c>
      <c r="C75" t="s">
        <v>237</v>
      </c>
      <c r="D75">
        <v>174251495558</v>
      </c>
      <c r="E75" t="s">
        <v>91</v>
      </c>
      <c r="F75" t="s">
        <v>130</v>
      </c>
      <c r="G75" t="s">
        <v>131</v>
      </c>
      <c r="H75" t="s">
        <v>70</v>
      </c>
      <c r="I75" t="s">
        <v>38</v>
      </c>
      <c r="J75">
        <v>111775.28</v>
      </c>
      <c r="K75" t="s">
        <v>98</v>
      </c>
      <c r="L75" s="10">
        <v>45529</v>
      </c>
      <c r="M75" t="s">
        <v>168</v>
      </c>
      <c r="N75">
        <v>1569398.54</v>
      </c>
      <c r="O75" t="s">
        <v>25</v>
      </c>
      <c r="P75" s="10">
        <v>45505</v>
      </c>
      <c r="Q75">
        <v>-111775.28</v>
      </c>
      <c r="R75">
        <v>0</v>
      </c>
      <c r="S75" t="s">
        <v>1098</v>
      </c>
      <c r="T75" t="s">
        <v>1095</v>
      </c>
    </row>
    <row r="76" spans="1:20" x14ac:dyDescent="0.3">
      <c r="A76" t="s">
        <v>238</v>
      </c>
      <c r="B76">
        <v>761621</v>
      </c>
      <c r="C76" t="s">
        <v>239</v>
      </c>
      <c r="D76">
        <v>335715085702</v>
      </c>
      <c r="E76" t="s">
        <v>35</v>
      </c>
      <c r="F76" t="s">
        <v>60</v>
      </c>
      <c r="G76" t="s">
        <v>61</v>
      </c>
      <c r="H76" t="s">
        <v>67</v>
      </c>
      <c r="I76" t="s">
        <v>48</v>
      </c>
      <c r="J76">
        <v>108963.54</v>
      </c>
      <c r="K76" t="s">
        <v>32</v>
      </c>
      <c r="L76" s="10">
        <v>45761</v>
      </c>
      <c r="M76" t="s">
        <v>24</v>
      </c>
      <c r="N76">
        <v>222485.48</v>
      </c>
      <c r="O76" t="s">
        <v>25</v>
      </c>
      <c r="P76" s="10">
        <v>45748</v>
      </c>
      <c r="Q76">
        <v>108963.54</v>
      </c>
      <c r="R76">
        <v>0</v>
      </c>
      <c r="S76" t="s">
        <v>1098</v>
      </c>
      <c r="T76" t="s">
        <v>1095</v>
      </c>
    </row>
    <row r="77" spans="1:20" x14ac:dyDescent="0.3">
      <c r="A77" t="s">
        <v>240</v>
      </c>
      <c r="B77">
        <v>615769</v>
      </c>
      <c r="C77" t="s">
        <v>241</v>
      </c>
      <c r="D77">
        <v>407129016960</v>
      </c>
      <c r="E77" t="s">
        <v>91</v>
      </c>
      <c r="F77" t="s">
        <v>162</v>
      </c>
      <c r="G77" t="s">
        <v>163</v>
      </c>
      <c r="H77" t="s">
        <v>31</v>
      </c>
      <c r="I77" t="s">
        <v>53</v>
      </c>
      <c r="J77">
        <v>5467.69</v>
      </c>
      <c r="K77" t="s">
        <v>39</v>
      </c>
      <c r="L77" s="10">
        <v>45518</v>
      </c>
      <c r="M77" t="s">
        <v>24</v>
      </c>
      <c r="N77">
        <v>300060.15000000002</v>
      </c>
      <c r="O77" t="s">
        <v>25</v>
      </c>
      <c r="P77" s="10">
        <v>45505</v>
      </c>
      <c r="Q77">
        <v>5467.69</v>
      </c>
      <c r="R77">
        <v>0</v>
      </c>
      <c r="S77" t="s">
        <v>1098</v>
      </c>
      <c r="T77" t="s">
        <v>1095</v>
      </c>
    </row>
    <row r="78" spans="1:20" x14ac:dyDescent="0.3">
      <c r="A78" t="s">
        <v>242</v>
      </c>
      <c r="B78">
        <v>964477</v>
      </c>
      <c r="C78" t="s">
        <v>243</v>
      </c>
      <c r="D78">
        <v>273078175564</v>
      </c>
      <c r="E78" t="s">
        <v>64</v>
      </c>
      <c r="F78" t="s">
        <v>146</v>
      </c>
      <c r="G78" t="s">
        <v>147</v>
      </c>
      <c r="H78" t="s">
        <v>67</v>
      </c>
      <c r="I78" t="s">
        <v>48</v>
      </c>
      <c r="J78">
        <v>77594.36</v>
      </c>
      <c r="K78" t="s">
        <v>23</v>
      </c>
      <c r="L78" s="10">
        <v>45170</v>
      </c>
      <c r="M78" t="s">
        <v>24</v>
      </c>
      <c r="N78">
        <v>1469822.53</v>
      </c>
      <c r="O78" t="s">
        <v>25</v>
      </c>
      <c r="P78" s="10">
        <v>45170</v>
      </c>
      <c r="Q78">
        <v>77594.36</v>
      </c>
      <c r="R78">
        <v>0</v>
      </c>
      <c r="S78" t="s">
        <v>1097</v>
      </c>
      <c r="T78" t="s">
        <v>1095</v>
      </c>
    </row>
    <row r="79" spans="1:20" x14ac:dyDescent="0.3">
      <c r="A79" t="s">
        <v>244</v>
      </c>
      <c r="B79">
        <v>619316</v>
      </c>
      <c r="C79" t="s">
        <v>245</v>
      </c>
      <c r="D79">
        <v>921865469550</v>
      </c>
      <c r="E79" t="s">
        <v>18</v>
      </c>
      <c r="F79" t="s">
        <v>19</v>
      </c>
      <c r="G79" t="s">
        <v>20</v>
      </c>
      <c r="H79" t="s">
        <v>70</v>
      </c>
      <c r="I79" t="s">
        <v>38</v>
      </c>
      <c r="J79">
        <v>130332.95</v>
      </c>
      <c r="K79" t="s">
        <v>98</v>
      </c>
      <c r="L79" s="10">
        <v>45250</v>
      </c>
      <c r="M79" t="s">
        <v>24</v>
      </c>
      <c r="N79">
        <v>202394.12</v>
      </c>
      <c r="O79" t="s">
        <v>25</v>
      </c>
      <c r="P79" s="10">
        <v>45231</v>
      </c>
      <c r="Q79">
        <v>-130332.95</v>
      </c>
      <c r="R79">
        <v>0</v>
      </c>
      <c r="S79" t="s">
        <v>1098</v>
      </c>
      <c r="T79" t="s">
        <v>1095</v>
      </c>
    </row>
    <row r="80" spans="1:20" x14ac:dyDescent="0.3">
      <c r="A80" t="s">
        <v>246</v>
      </c>
      <c r="B80">
        <v>258410</v>
      </c>
      <c r="C80" t="s">
        <v>247</v>
      </c>
      <c r="D80">
        <v>668697508911</v>
      </c>
      <c r="E80" t="s">
        <v>18</v>
      </c>
      <c r="F80" t="s">
        <v>87</v>
      </c>
      <c r="G80" t="s">
        <v>88</v>
      </c>
      <c r="H80" t="s">
        <v>31</v>
      </c>
      <c r="I80" t="s">
        <v>53</v>
      </c>
      <c r="J80">
        <v>431597.82</v>
      </c>
      <c r="K80" t="s">
        <v>23</v>
      </c>
      <c r="L80" s="10">
        <v>45281</v>
      </c>
      <c r="M80" t="s">
        <v>24</v>
      </c>
      <c r="N80">
        <v>2153343.14</v>
      </c>
      <c r="O80" t="s">
        <v>25</v>
      </c>
      <c r="P80" s="10">
        <v>45261</v>
      </c>
      <c r="Q80">
        <v>431597.82</v>
      </c>
      <c r="R80">
        <v>0</v>
      </c>
      <c r="S80" t="s">
        <v>1097</v>
      </c>
      <c r="T80" t="s">
        <v>1095</v>
      </c>
    </row>
    <row r="81" spans="1:20" x14ac:dyDescent="0.3">
      <c r="A81" t="s">
        <v>248</v>
      </c>
      <c r="B81">
        <v>683367</v>
      </c>
      <c r="C81" t="s">
        <v>249</v>
      </c>
      <c r="D81">
        <v>982009733970</v>
      </c>
      <c r="E81" t="s">
        <v>91</v>
      </c>
      <c r="F81" t="s">
        <v>130</v>
      </c>
      <c r="G81" t="s">
        <v>131</v>
      </c>
      <c r="H81" t="s">
        <v>31</v>
      </c>
      <c r="I81" t="s">
        <v>22</v>
      </c>
      <c r="J81">
        <v>329340.40999999997</v>
      </c>
      <c r="K81" t="s">
        <v>32</v>
      </c>
      <c r="L81" s="10">
        <v>45245</v>
      </c>
      <c r="M81" t="s">
        <v>24</v>
      </c>
      <c r="N81">
        <v>1368075.07</v>
      </c>
      <c r="O81" t="s">
        <v>25</v>
      </c>
      <c r="P81" s="10">
        <v>45231</v>
      </c>
      <c r="Q81">
        <v>329340.40999999997</v>
      </c>
      <c r="R81">
        <v>0</v>
      </c>
      <c r="S81" t="s">
        <v>1098</v>
      </c>
      <c r="T81" t="s">
        <v>1095</v>
      </c>
    </row>
    <row r="82" spans="1:20" x14ac:dyDescent="0.3">
      <c r="A82" t="s">
        <v>250</v>
      </c>
      <c r="B82">
        <v>685188</v>
      </c>
      <c r="C82" t="s">
        <v>251</v>
      </c>
      <c r="D82">
        <v>440841637325</v>
      </c>
      <c r="E82" t="s">
        <v>91</v>
      </c>
      <c r="F82" t="s">
        <v>109</v>
      </c>
      <c r="G82" t="s">
        <v>110</v>
      </c>
      <c r="H82" t="s">
        <v>31</v>
      </c>
      <c r="I82" t="s">
        <v>48</v>
      </c>
      <c r="J82">
        <v>230671.33</v>
      </c>
      <c r="K82" t="s">
        <v>98</v>
      </c>
      <c r="L82" s="10">
        <v>45732</v>
      </c>
      <c r="M82" t="s">
        <v>24</v>
      </c>
      <c r="N82">
        <v>793311.08</v>
      </c>
      <c r="O82" t="s">
        <v>25</v>
      </c>
      <c r="P82" s="10">
        <v>45717</v>
      </c>
      <c r="Q82">
        <v>230671.33</v>
      </c>
      <c r="R82">
        <v>0</v>
      </c>
      <c r="S82" t="s">
        <v>1098</v>
      </c>
      <c r="T82" t="s">
        <v>1095</v>
      </c>
    </row>
    <row r="83" spans="1:20" x14ac:dyDescent="0.3">
      <c r="A83" t="s">
        <v>252</v>
      </c>
      <c r="B83">
        <v>861387</v>
      </c>
      <c r="C83" t="s">
        <v>253</v>
      </c>
      <c r="D83">
        <v>206376466987</v>
      </c>
      <c r="E83" t="s">
        <v>35</v>
      </c>
      <c r="F83" t="s">
        <v>73</v>
      </c>
      <c r="G83" t="s">
        <v>74</v>
      </c>
      <c r="H83" t="s">
        <v>67</v>
      </c>
      <c r="I83" t="s">
        <v>48</v>
      </c>
      <c r="J83">
        <v>151847.43</v>
      </c>
      <c r="K83" t="s">
        <v>98</v>
      </c>
      <c r="L83" s="10">
        <v>45408</v>
      </c>
      <c r="M83" t="s">
        <v>113</v>
      </c>
      <c r="N83">
        <v>245310.82</v>
      </c>
      <c r="O83" t="s">
        <v>25</v>
      </c>
      <c r="P83" s="10">
        <v>45383</v>
      </c>
      <c r="Q83">
        <v>151847.43</v>
      </c>
      <c r="R83">
        <v>0</v>
      </c>
      <c r="S83" t="s">
        <v>1098</v>
      </c>
      <c r="T83" t="s">
        <v>1095</v>
      </c>
    </row>
    <row r="84" spans="1:20" x14ac:dyDescent="0.3">
      <c r="A84" t="s">
        <v>254</v>
      </c>
      <c r="B84">
        <v>294793</v>
      </c>
      <c r="C84" t="s">
        <v>255</v>
      </c>
      <c r="D84">
        <v>396259742856</v>
      </c>
      <c r="E84" t="s">
        <v>64</v>
      </c>
      <c r="F84" t="s">
        <v>146</v>
      </c>
      <c r="G84" t="s">
        <v>147</v>
      </c>
      <c r="H84" t="s">
        <v>21</v>
      </c>
      <c r="I84" t="s">
        <v>48</v>
      </c>
      <c r="J84">
        <v>43912.42</v>
      </c>
      <c r="K84" t="s">
        <v>23</v>
      </c>
      <c r="L84" s="10">
        <v>45768</v>
      </c>
      <c r="M84" t="s">
        <v>24</v>
      </c>
      <c r="N84">
        <v>720514.71000000008</v>
      </c>
      <c r="O84" t="s">
        <v>25</v>
      </c>
      <c r="P84" s="10">
        <v>45748</v>
      </c>
      <c r="Q84">
        <v>43912.42</v>
      </c>
      <c r="R84">
        <v>0</v>
      </c>
      <c r="S84" t="s">
        <v>1097</v>
      </c>
      <c r="T84" t="s">
        <v>1095</v>
      </c>
    </row>
    <row r="85" spans="1:20" x14ac:dyDescent="0.3">
      <c r="A85" t="s">
        <v>256</v>
      </c>
      <c r="B85">
        <v>163591</v>
      </c>
      <c r="C85" t="s">
        <v>257</v>
      </c>
      <c r="D85">
        <v>643282698177</v>
      </c>
      <c r="E85" t="s">
        <v>64</v>
      </c>
      <c r="F85" t="s">
        <v>177</v>
      </c>
      <c r="G85" t="s">
        <v>178</v>
      </c>
      <c r="H85" t="s">
        <v>21</v>
      </c>
      <c r="I85" t="s">
        <v>48</v>
      </c>
      <c r="J85">
        <v>259387.62</v>
      </c>
      <c r="K85" t="s">
        <v>39</v>
      </c>
      <c r="L85" s="10">
        <v>45280</v>
      </c>
      <c r="M85" t="s">
        <v>24</v>
      </c>
      <c r="N85">
        <v>1341143.01</v>
      </c>
      <c r="O85" t="s">
        <v>25</v>
      </c>
      <c r="P85" s="10">
        <v>45261</v>
      </c>
      <c r="Q85">
        <v>259387.62</v>
      </c>
      <c r="R85">
        <v>0</v>
      </c>
      <c r="S85" t="s">
        <v>1098</v>
      </c>
      <c r="T85" t="s">
        <v>1095</v>
      </c>
    </row>
    <row r="86" spans="1:20" x14ac:dyDescent="0.3">
      <c r="A86" t="s">
        <v>258</v>
      </c>
      <c r="B86">
        <v>999369</v>
      </c>
      <c r="C86" t="s">
        <v>259</v>
      </c>
      <c r="D86">
        <v>693909368952</v>
      </c>
      <c r="E86" t="s">
        <v>35</v>
      </c>
      <c r="F86" t="s">
        <v>73</v>
      </c>
      <c r="G86" t="s">
        <v>74</v>
      </c>
      <c r="H86" t="s">
        <v>67</v>
      </c>
      <c r="I86" t="s">
        <v>38</v>
      </c>
      <c r="J86">
        <v>113984.02</v>
      </c>
      <c r="K86" t="s">
        <v>49</v>
      </c>
      <c r="L86" s="10">
        <v>45567</v>
      </c>
      <c r="M86" t="s">
        <v>24</v>
      </c>
      <c r="N86">
        <v>1568873.7</v>
      </c>
      <c r="O86" t="s">
        <v>179</v>
      </c>
      <c r="P86" s="10">
        <v>45566</v>
      </c>
      <c r="Q86">
        <v>-113984.02</v>
      </c>
      <c r="R86">
        <v>1</v>
      </c>
      <c r="S86" t="s">
        <v>1098</v>
      </c>
      <c r="T86" t="s">
        <v>1095</v>
      </c>
    </row>
    <row r="87" spans="1:20" x14ac:dyDescent="0.3">
      <c r="A87" t="s">
        <v>260</v>
      </c>
      <c r="B87">
        <v>436075</v>
      </c>
      <c r="C87" t="s">
        <v>261</v>
      </c>
      <c r="D87">
        <v>405209357833</v>
      </c>
      <c r="E87" t="s">
        <v>28</v>
      </c>
      <c r="F87" t="s">
        <v>29</v>
      </c>
      <c r="G87" t="s">
        <v>30</v>
      </c>
      <c r="H87" t="s">
        <v>31</v>
      </c>
      <c r="I87" t="s">
        <v>53</v>
      </c>
      <c r="J87">
        <v>25673.64</v>
      </c>
      <c r="K87" t="s">
        <v>39</v>
      </c>
      <c r="L87" s="10">
        <v>45475</v>
      </c>
      <c r="M87" t="s">
        <v>24</v>
      </c>
      <c r="N87">
        <v>231828.22</v>
      </c>
      <c r="O87" t="s">
        <v>25</v>
      </c>
      <c r="P87" s="10">
        <v>45474</v>
      </c>
      <c r="Q87">
        <v>25673.64</v>
      </c>
      <c r="R87">
        <v>0</v>
      </c>
      <c r="S87" t="s">
        <v>1098</v>
      </c>
      <c r="T87" t="s">
        <v>1095</v>
      </c>
    </row>
    <row r="88" spans="1:20" x14ac:dyDescent="0.3">
      <c r="A88" t="s">
        <v>262</v>
      </c>
      <c r="B88">
        <v>246445</v>
      </c>
      <c r="C88" t="s">
        <v>263</v>
      </c>
      <c r="D88">
        <v>626901044244</v>
      </c>
      <c r="E88" t="s">
        <v>35</v>
      </c>
      <c r="F88" t="s">
        <v>36</v>
      </c>
      <c r="G88" t="s">
        <v>37</v>
      </c>
      <c r="H88" t="s">
        <v>67</v>
      </c>
      <c r="I88" t="s">
        <v>53</v>
      </c>
      <c r="J88">
        <v>373738.22</v>
      </c>
      <c r="K88" t="s">
        <v>23</v>
      </c>
      <c r="L88" s="10">
        <v>45773</v>
      </c>
      <c r="M88" t="s">
        <v>24</v>
      </c>
      <c r="N88">
        <v>759841.91999999993</v>
      </c>
      <c r="O88" t="s">
        <v>25</v>
      </c>
      <c r="P88" s="10">
        <v>45748</v>
      </c>
      <c r="Q88">
        <v>373738.22</v>
      </c>
      <c r="R88">
        <v>0</v>
      </c>
      <c r="S88" t="s">
        <v>1097</v>
      </c>
      <c r="T88" t="s">
        <v>1095</v>
      </c>
    </row>
    <row r="89" spans="1:20" x14ac:dyDescent="0.3">
      <c r="A89" t="s">
        <v>264</v>
      </c>
      <c r="B89">
        <v>649852</v>
      </c>
      <c r="C89" t="s">
        <v>265</v>
      </c>
      <c r="D89">
        <v>360164842230</v>
      </c>
      <c r="E89" t="s">
        <v>28</v>
      </c>
      <c r="F89" t="s">
        <v>150</v>
      </c>
      <c r="G89" t="s">
        <v>151</v>
      </c>
      <c r="H89" t="s">
        <v>70</v>
      </c>
      <c r="I89" t="s">
        <v>53</v>
      </c>
      <c r="J89">
        <v>135613.45000000001</v>
      </c>
      <c r="K89" t="s">
        <v>49</v>
      </c>
      <c r="L89" s="10">
        <v>45708</v>
      </c>
      <c r="M89" t="s">
        <v>24</v>
      </c>
      <c r="N89">
        <v>1878459.02</v>
      </c>
      <c r="O89" t="s">
        <v>25</v>
      </c>
      <c r="P89" s="10">
        <v>45689</v>
      </c>
      <c r="Q89">
        <v>135613.45000000001</v>
      </c>
      <c r="R89">
        <v>0</v>
      </c>
      <c r="S89" t="s">
        <v>1098</v>
      </c>
      <c r="T89" t="s">
        <v>1095</v>
      </c>
    </row>
    <row r="90" spans="1:20" x14ac:dyDescent="0.3">
      <c r="A90" t="s">
        <v>266</v>
      </c>
      <c r="B90">
        <v>846632</v>
      </c>
      <c r="C90" t="s">
        <v>267</v>
      </c>
      <c r="D90">
        <v>791650643766</v>
      </c>
      <c r="E90" t="s">
        <v>35</v>
      </c>
      <c r="F90" t="s">
        <v>136</v>
      </c>
      <c r="G90" t="s">
        <v>137</v>
      </c>
      <c r="H90" t="s">
        <v>31</v>
      </c>
      <c r="I90" t="s">
        <v>38</v>
      </c>
      <c r="J90">
        <v>135727.92000000001</v>
      </c>
      <c r="K90" t="s">
        <v>23</v>
      </c>
      <c r="L90" s="10">
        <v>45128</v>
      </c>
      <c r="M90" t="s">
        <v>24</v>
      </c>
      <c r="N90">
        <v>80849.75</v>
      </c>
      <c r="O90" t="s">
        <v>25</v>
      </c>
      <c r="P90" s="10">
        <v>45108</v>
      </c>
      <c r="Q90">
        <v>-135727.92000000001</v>
      </c>
      <c r="R90">
        <v>0</v>
      </c>
      <c r="S90" t="s">
        <v>1097</v>
      </c>
      <c r="T90" t="s">
        <v>1095</v>
      </c>
    </row>
    <row r="91" spans="1:20" x14ac:dyDescent="0.3">
      <c r="A91" t="s">
        <v>268</v>
      </c>
      <c r="B91">
        <v>426604</v>
      </c>
      <c r="C91" t="s">
        <v>269</v>
      </c>
      <c r="D91">
        <v>694508992835</v>
      </c>
      <c r="E91" t="s">
        <v>28</v>
      </c>
      <c r="F91" t="s">
        <v>29</v>
      </c>
      <c r="G91" t="s">
        <v>30</v>
      </c>
      <c r="H91" t="s">
        <v>21</v>
      </c>
      <c r="I91" t="s">
        <v>22</v>
      </c>
      <c r="J91">
        <v>181205.51</v>
      </c>
      <c r="K91" t="s">
        <v>98</v>
      </c>
      <c r="L91" s="10">
        <v>45779</v>
      </c>
      <c r="M91" t="s">
        <v>24</v>
      </c>
      <c r="N91">
        <v>2162794.13</v>
      </c>
      <c r="O91" t="s">
        <v>25</v>
      </c>
      <c r="P91" s="10">
        <v>45778</v>
      </c>
      <c r="Q91">
        <v>181205.51</v>
      </c>
      <c r="R91">
        <v>0</v>
      </c>
      <c r="S91" t="s">
        <v>1098</v>
      </c>
      <c r="T91" t="s">
        <v>1095</v>
      </c>
    </row>
    <row r="92" spans="1:20" x14ac:dyDescent="0.3">
      <c r="A92" t="s">
        <v>270</v>
      </c>
      <c r="B92">
        <v>944525</v>
      </c>
      <c r="C92" t="s">
        <v>271</v>
      </c>
      <c r="D92">
        <v>109856223455</v>
      </c>
      <c r="E92" t="s">
        <v>64</v>
      </c>
      <c r="F92" t="s">
        <v>146</v>
      </c>
      <c r="G92" t="s">
        <v>147</v>
      </c>
      <c r="H92" t="s">
        <v>21</v>
      </c>
      <c r="I92" t="s">
        <v>48</v>
      </c>
      <c r="J92">
        <v>181990.14</v>
      </c>
      <c r="K92" t="s">
        <v>32</v>
      </c>
      <c r="L92" s="10">
        <v>45548</v>
      </c>
      <c r="M92" t="s">
        <v>24</v>
      </c>
      <c r="N92">
        <v>971684.35</v>
      </c>
      <c r="O92" t="s">
        <v>25</v>
      </c>
      <c r="P92" s="10">
        <v>45536</v>
      </c>
      <c r="Q92">
        <v>181990.14</v>
      </c>
      <c r="R92">
        <v>0</v>
      </c>
      <c r="S92" t="s">
        <v>1098</v>
      </c>
      <c r="T92" t="s">
        <v>1095</v>
      </c>
    </row>
    <row r="93" spans="1:20" x14ac:dyDescent="0.3">
      <c r="A93" t="s">
        <v>272</v>
      </c>
      <c r="B93">
        <v>592501</v>
      </c>
      <c r="C93" t="s">
        <v>273</v>
      </c>
      <c r="D93">
        <v>699404858667</v>
      </c>
      <c r="E93" t="s">
        <v>28</v>
      </c>
      <c r="F93" t="s">
        <v>150</v>
      </c>
      <c r="G93" t="s">
        <v>151</v>
      </c>
      <c r="H93" t="s">
        <v>67</v>
      </c>
      <c r="I93" t="s">
        <v>48</v>
      </c>
      <c r="J93">
        <v>156947.67000000001</v>
      </c>
      <c r="K93" t="s">
        <v>98</v>
      </c>
      <c r="L93" s="10">
        <v>45453</v>
      </c>
      <c r="M93" t="s">
        <v>24</v>
      </c>
      <c r="N93">
        <v>1603555.77</v>
      </c>
      <c r="O93" t="s">
        <v>25</v>
      </c>
      <c r="P93" s="10">
        <v>45444</v>
      </c>
      <c r="Q93">
        <v>156947.67000000001</v>
      </c>
      <c r="R93">
        <v>0</v>
      </c>
      <c r="S93" t="s">
        <v>1098</v>
      </c>
      <c r="T93" t="s">
        <v>1095</v>
      </c>
    </row>
    <row r="94" spans="1:20" x14ac:dyDescent="0.3">
      <c r="A94" t="s">
        <v>274</v>
      </c>
      <c r="B94">
        <v>768984</v>
      </c>
      <c r="C94" t="s">
        <v>275</v>
      </c>
      <c r="D94">
        <v>208342410757</v>
      </c>
      <c r="E94" t="s">
        <v>35</v>
      </c>
      <c r="F94" t="s">
        <v>73</v>
      </c>
      <c r="G94" t="s">
        <v>74</v>
      </c>
      <c r="H94" t="s">
        <v>31</v>
      </c>
      <c r="I94" t="s">
        <v>48</v>
      </c>
      <c r="J94">
        <v>229674.46</v>
      </c>
      <c r="K94" t="s">
        <v>98</v>
      </c>
      <c r="L94" s="10">
        <v>45329</v>
      </c>
      <c r="M94" t="s">
        <v>24</v>
      </c>
      <c r="N94">
        <v>853283.80999999994</v>
      </c>
      <c r="O94" t="s">
        <v>25</v>
      </c>
      <c r="P94" s="10">
        <v>45323</v>
      </c>
      <c r="Q94">
        <v>229674.46</v>
      </c>
      <c r="R94">
        <v>0</v>
      </c>
      <c r="S94" t="s">
        <v>1098</v>
      </c>
      <c r="T94" t="s">
        <v>1095</v>
      </c>
    </row>
    <row r="95" spans="1:20" x14ac:dyDescent="0.3">
      <c r="A95" t="s">
        <v>276</v>
      </c>
      <c r="B95">
        <v>531859</v>
      </c>
      <c r="C95" t="s">
        <v>277</v>
      </c>
      <c r="D95">
        <v>640702669526</v>
      </c>
      <c r="E95" t="s">
        <v>64</v>
      </c>
      <c r="F95" t="s">
        <v>177</v>
      </c>
      <c r="G95" t="s">
        <v>178</v>
      </c>
      <c r="H95" t="s">
        <v>70</v>
      </c>
      <c r="I95" t="s">
        <v>48</v>
      </c>
      <c r="J95">
        <v>190072.68</v>
      </c>
      <c r="K95" t="s">
        <v>39</v>
      </c>
      <c r="L95" s="10">
        <v>45394</v>
      </c>
      <c r="M95" t="s">
        <v>24</v>
      </c>
      <c r="N95">
        <v>899951.25</v>
      </c>
      <c r="O95" t="s">
        <v>25</v>
      </c>
      <c r="P95" s="10">
        <v>45383</v>
      </c>
      <c r="Q95">
        <v>190072.68</v>
      </c>
      <c r="R95">
        <v>0</v>
      </c>
      <c r="S95" t="s">
        <v>1098</v>
      </c>
      <c r="T95" t="s">
        <v>1095</v>
      </c>
    </row>
    <row r="96" spans="1:20" x14ac:dyDescent="0.3">
      <c r="A96" t="s">
        <v>278</v>
      </c>
      <c r="B96">
        <v>405881</v>
      </c>
      <c r="C96" t="s">
        <v>279</v>
      </c>
      <c r="D96">
        <v>976230686799</v>
      </c>
      <c r="E96" t="s">
        <v>64</v>
      </c>
      <c r="F96" t="s">
        <v>65</v>
      </c>
      <c r="G96" t="s">
        <v>66</v>
      </c>
      <c r="H96" t="s">
        <v>31</v>
      </c>
      <c r="I96" t="s">
        <v>38</v>
      </c>
      <c r="J96">
        <v>93038.6</v>
      </c>
      <c r="K96" t="s">
        <v>98</v>
      </c>
      <c r="L96" s="10">
        <v>45321</v>
      </c>
      <c r="M96" t="s">
        <v>24</v>
      </c>
      <c r="N96">
        <v>1330639.23</v>
      </c>
      <c r="O96" t="s">
        <v>25</v>
      </c>
      <c r="P96" s="10">
        <v>45292</v>
      </c>
      <c r="Q96">
        <v>-93038.6</v>
      </c>
      <c r="R96">
        <v>0</v>
      </c>
      <c r="S96" t="s">
        <v>1098</v>
      </c>
      <c r="T96" t="s">
        <v>1095</v>
      </c>
    </row>
    <row r="97" spans="1:20" x14ac:dyDescent="0.3">
      <c r="A97" t="s">
        <v>280</v>
      </c>
      <c r="B97">
        <v>286469</v>
      </c>
      <c r="C97" t="s">
        <v>281</v>
      </c>
      <c r="D97">
        <v>605825525973</v>
      </c>
      <c r="E97" t="s">
        <v>28</v>
      </c>
      <c r="F97" t="s">
        <v>216</v>
      </c>
      <c r="G97" t="s">
        <v>217</v>
      </c>
      <c r="H97" t="s">
        <v>31</v>
      </c>
      <c r="I97" t="s">
        <v>38</v>
      </c>
      <c r="J97">
        <v>111276.4</v>
      </c>
      <c r="K97" t="s">
        <v>23</v>
      </c>
      <c r="L97" s="10">
        <v>45299</v>
      </c>
      <c r="M97" t="s">
        <v>24</v>
      </c>
      <c r="N97">
        <v>1518701.76</v>
      </c>
      <c r="O97" t="s">
        <v>25</v>
      </c>
      <c r="P97" s="10">
        <v>45292</v>
      </c>
      <c r="Q97">
        <v>-111276.4</v>
      </c>
      <c r="R97">
        <v>0</v>
      </c>
      <c r="S97" t="s">
        <v>1097</v>
      </c>
      <c r="T97" t="s">
        <v>1095</v>
      </c>
    </row>
    <row r="98" spans="1:20" x14ac:dyDescent="0.3">
      <c r="A98" t="s">
        <v>282</v>
      </c>
      <c r="B98">
        <v>182726</v>
      </c>
      <c r="C98" t="s">
        <v>283</v>
      </c>
      <c r="D98">
        <v>915362443565</v>
      </c>
      <c r="E98" t="s">
        <v>35</v>
      </c>
      <c r="F98" t="s">
        <v>36</v>
      </c>
      <c r="G98" t="s">
        <v>37</v>
      </c>
      <c r="H98" t="s">
        <v>67</v>
      </c>
      <c r="I98" t="s">
        <v>48</v>
      </c>
      <c r="J98">
        <v>191244.09</v>
      </c>
      <c r="K98" t="s">
        <v>98</v>
      </c>
      <c r="L98" s="10">
        <v>45248</v>
      </c>
      <c r="M98" t="s">
        <v>24</v>
      </c>
      <c r="N98">
        <v>318250.03999999998</v>
      </c>
      <c r="O98" t="s">
        <v>25</v>
      </c>
      <c r="P98" s="10">
        <v>45231</v>
      </c>
      <c r="Q98">
        <v>191244.09</v>
      </c>
      <c r="R98">
        <v>0</v>
      </c>
      <c r="S98" t="s">
        <v>1098</v>
      </c>
      <c r="T98" t="s">
        <v>1095</v>
      </c>
    </row>
    <row r="99" spans="1:20" x14ac:dyDescent="0.3">
      <c r="A99" t="s">
        <v>284</v>
      </c>
      <c r="B99">
        <v>584031</v>
      </c>
      <c r="C99" t="s">
        <v>285</v>
      </c>
      <c r="D99">
        <v>858729220350</v>
      </c>
      <c r="E99" t="s">
        <v>18</v>
      </c>
      <c r="F99" t="s">
        <v>46</v>
      </c>
      <c r="G99" t="s">
        <v>47</v>
      </c>
      <c r="H99" t="s">
        <v>31</v>
      </c>
      <c r="I99" t="s">
        <v>22</v>
      </c>
      <c r="J99">
        <v>238817.39</v>
      </c>
      <c r="K99" t="s">
        <v>39</v>
      </c>
      <c r="L99" s="10">
        <v>45580</v>
      </c>
      <c r="M99" t="s">
        <v>24</v>
      </c>
      <c r="N99">
        <v>275766.65999999997</v>
      </c>
      <c r="O99" t="s">
        <v>179</v>
      </c>
      <c r="P99" s="10">
        <v>45566</v>
      </c>
      <c r="Q99">
        <v>238817.39</v>
      </c>
      <c r="R99">
        <v>1</v>
      </c>
      <c r="S99" t="s">
        <v>1098</v>
      </c>
      <c r="T99" t="s">
        <v>1095</v>
      </c>
    </row>
    <row r="100" spans="1:20" x14ac:dyDescent="0.3">
      <c r="A100" t="s">
        <v>286</v>
      </c>
      <c r="B100">
        <v>518914</v>
      </c>
      <c r="C100" t="s">
        <v>287</v>
      </c>
      <c r="D100">
        <v>741907644425</v>
      </c>
      <c r="E100" t="s">
        <v>91</v>
      </c>
      <c r="F100" t="s">
        <v>130</v>
      </c>
      <c r="G100" t="s">
        <v>131</v>
      </c>
      <c r="H100" t="s">
        <v>70</v>
      </c>
      <c r="I100" t="s">
        <v>53</v>
      </c>
      <c r="J100">
        <v>212352.26</v>
      </c>
      <c r="K100" t="s">
        <v>49</v>
      </c>
      <c r="L100" s="10">
        <v>45450</v>
      </c>
      <c r="M100" t="s">
        <v>24</v>
      </c>
      <c r="N100">
        <v>1767810</v>
      </c>
      <c r="O100" t="s">
        <v>25</v>
      </c>
      <c r="P100" s="10">
        <v>45444</v>
      </c>
      <c r="Q100">
        <v>212352.26</v>
      </c>
      <c r="R100">
        <v>0</v>
      </c>
      <c r="S100" t="s">
        <v>1098</v>
      </c>
      <c r="T100" t="s">
        <v>1095</v>
      </c>
    </row>
    <row r="101" spans="1:20" x14ac:dyDescent="0.3">
      <c r="A101" t="s">
        <v>288</v>
      </c>
      <c r="B101">
        <v>737238</v>
      </c>
      <c r="C101" t="s">
        <v>289</v>
      </c>
      <c r="D101">
        <v>184804419951</v>
      </c>
      <c r="E101" t="s">
        <v>35</v>
      </c>
      <c r="F101" t="s">
        <v>36</v>
      </c>
      <c r="G101" t="s">
        <v>37</v>
      </c>
      <c r="H101" t="s">
        <v>67</v>
      </c>
      <c r="I101" t="s">
        <v>48</v>
      </c>
      <c r="J101">
        <v>264455.89</v>
      </c>
      <c r="K101" t="s">
        <v>49</v>
      </c>
      <c r="L101" s="10">
        <v>45742</v>
      </c>
      <c r="M101" t="s">
        <v>24</v>
      </c>
      <c r="N101">
        <v>1732815.58</v>
      </c>
      <c r="O101" t="s">
        <v>25</v>
      </c>
      <c r="P101" s="10">
        <v>45717</v>
      </c>
      <c r="Q101">
        <v>264455.89</v>
      </c>
      <c r="R101">
        <v>0</v>
      </c>
      <c r="S101" t="s">
        <v>1098</v>
      </c>
      <c r="T101" t="s">
        <v>1095</v>
      </c>
    </row>
    <row r="102" spans="1:20" x14ac:dyDescent="0.3">
      <c r="A102" t="s">
        <v>290</v>
      </c>
      <c r="B102">
        <v>460707</v>
      </c>
      <c r="C102" t="s">
        <v>291</v>
      </c>
      <c r="D102">
        <v>503436480030</v>
      </c>
      <c r="E102" t="s">
        <v>18</v>
      </c>
      <c r="F102" t="s">
        <v>156</v>
      </c>
      <c r="G102" t="s">
        <v>157</v>
      </c>
      <c r="H102" t="s">
        <v>21</v>
      </c>
      <c r="I102" t="s">
        <v>48</v>
      </c>
      <c r="J102">
        <v>131212.89000000001</v>
      </c>
      <c r="K102" t="s">
        <v>98</v>
      </c>
      <c r="L102" s="10">
        <v>45392</v>
      </c>
      <c r="M102" t="s">
        <v>24</v>
      </c>
      <c r="N102">
        <v>1938830.27</v>
      </c>
      <c r="O102" t="s">
        <v>25</v>
      </c>
      <c r="P102" s="10">
        <v>45383</v>
      </c>
      <c r="Q102">
        <v>131212.89000000001</v>
      </c>
      <c r="R102">
        <v>0</v>
      </c>
      <c r="S102" t="s">
        <v>1098</v>
      </c>
      <c r="T102" t="s">
        <v>1095</v>
      </c>
    </row>
    <row r="103" spans="1:20" x14ac:dyDescent="0.3">
      <c r="A103" t="s">
        <v>292</v>
      </c>
      <c r="B103">
        <v>408467</v>
      </c>
      <c r="C103" t="s">
        <v>293</v>
      </c>
      <c r="D103">
        <v>443440313367</v>
      </c>
      <c r="E103" t="s">
        <v>28</v>
      </c>
      <c r="F103" t="s">
        <v>150</v>
      </c>
      <c r="G103" t="s">
        <v>151</v>
      </c>
      <c r="H103" t="s">
        <v>70</v>
      </c>
      <c r="I103" t="s">
        <v>48</v>
      </c>
      <c r="J103">
        <v>262020.46</v>
      </c>
      <c r="K103" t="s">
        <v>98</v>
      </c>
      <c r="L103" s="10">
        <v>45715</v>
      </c>
      <c r="M103" t="s">
        <v>24</v>
      </c>
      <c r="N103">
        <v>909536.89</v>
      </c>
      <c r="O103" t="s">
        <v>25</v>
      </c>
      <c r="P103" s="10">
        <v>45689</v>
      </c>
      <c r="Q103">
        <v>262020.46</v>
      </c>
      <c r="R103">
        <v>0</v>
      </c>
      <c r="S103" t="s">
        <v>1098</v>
      </c>
      <c r="T103" t="s">
        <v>1095</v>
      </c>
    </row>
    <row r="104" spans="1:20" x14ac:dyDescent="0.3">
      <c r="A104" t="s">
        <v>294</v>
      </c>
      <c r="B104">
        <v>544498</v>
      </c>
      <c r="C104" t="s">
        <v>295</v>
      </c>
      <c r="D104">
        <v>823134970926</v>
      </c>
      <c r="E104" t="s">
        <v>64</v>
      </c>
      <c r="F104" t="s">
        <v>83</v>
      </c>
      <c r="G104" t="s">
        <v>84</v>
      </c>
      <c r="H104" t="s">
        <v>21</v>
      </c>
      <c r="I104" t="s">
        <v>38</v>
      </c>
      <c r="J104">
        <v>124381.09</v>
      </c>
      <c r="K104" t="s">
        <v>98</v>
      </c>
      <c r="L104" s="10">
        <v>45318</v>
      </c>
      <c r="M104" t="s">
        <v>24</v>
      </c>
      <c r="N104">
        <v>908547.25</v>
      </c>
      <c r="O104" t="s">
        <v>25</v>
      </c>
      <c r="P104" s="10">
        <v>45292</v>
      </c>
      <c r="Q104">
        <v>-124381.09</v>
      </c>
      <c r="R104">
        <v>0</v>
      </c>
      <c r="S104" t="s">
        <v>1098</v>
      </c>
      <c r="T104" t="s">
        <v>1095</v>
      </c>
    </row>
    <row r="105" spans="1:20" x14ac:dyDescent="0.3">
      <c r="A105" t="s">
        <v>296</v>
      </c>
      <c r="B105">
        <v>621252</v>
      </c>
      <c r="C105" t="s">
        <v>297</v>
      </c>
      <c r="D105">
        <v>319436377684</v>
      </c>
      <c r="E105" t="s">
        <v>35</v>
      </c>
      <c r="F105" t="s">
        <v>42</v>
      </c>
      <c r="G105" t="s">
        <v>43</v>
      </c>
      <c r="H105" t="s">
        <v>70</v>
      </c>
      <c r="I105" t="s">
        <v>48</v>
      </c>
      <c r="J105">
        <v>160823.4</v>
      </c>
      <c r="K105" t="s">
        <v>32</v>
      </c>
      <c r="L105" s="10">
        <v>45818</v>
      </c>
      <c r="M105" t="s">
        <v>24</v>
      </c>
      <c r="N105">
        <v>1663818.17</v>
      </c>
      <c r="O105" t="s">
        <v>25</v>
      </c>
      <c r="P105" s="10">
        <v>45809</v>
      </c>
      <c r="Q105">
        <v>160823.4</v>
      </c>
      <c r="R105">
        <v>0</v>
      </c>
      <c r="S105" t="s">
        <v>1098</v>
      </c>
      <c r="T105" t="s">
        <v>1095</v>
      </c>
    </row>
    <row r="106" spans="1:20" x14ac:dyDescent="0.3">
      <c r="A106" t="s">
        <v>298</v>
      </c>
      <c r="B106">
        <v>726225</v>
      </c>
      <c r="C106" t="s">
        <v>299</v>
      </c>
      <c r="D106">
        <v>262242868098</v>
      </c>
      <c r="E106" t="s">
        <v>91</v>
      </c>
      <c r="F106" t="s">
        <v>109</v>
      </c>
      <c r="G106" t="s">
        <v>110</v>
      </c>
      <c r="H106" t="s">
        <v>70</v>
      </c>
      <c r="I106" t="s">
        <v>22</v>
      </c>
      <c r="J106">
        <v>580253.53</v>
      </c>
      <c r="K106" t="s">
        <v>98</v>
      </c>
      <c r="L106" s="10">
        <v>45301</v>
      </c>
      <c r="M106" t="s">
        <v>24</v>
      </c>
      <c r="N106">
        <v>2200135.6800000002</v>
      </c>
      <c r="O106" t="s">
        <v>25</v>
      </c>
      <c r="P106" s="10">
        <v>45292</v>
      </c>
      <c r="Q106">
        <v>580253.53</v>
      </c>
      <c r="R106">
        <v>0</v>
      </c>
      <c r="S106" t="s">
        <v>1098</v>
      </c>
      <c r="T106" t="s">
        <v>1095</v>
      </c>
    </row>
    <row r="107" spans="1:20" x14ac:dyDescent="0.3">
      <c r="A107" t="s">
        <v>300</v>
      </c>
      <c r="B107">
        <v>434987</v>
      </c>
      <c r="C107" t="s">
        <v>301</v>
      </c>
      <c r="D107">
        <v>513922347721</v>
      </c>
      <c r="E107" t="s">
        <v>18</v>
      </c>
      <c r="F107" t="s">
        <v>19</v>
      </c>
      <c r="G107" t="s">
        <v>20</v>
      </c>
      <c r="H107" t="s">
        <v>70</v>
      </c>
      <c r="I107" t="s">
        <v>22</v>
      </c>
      <c r="J107">
        <v>134600.71</v>
      </c>
      <c r="K107" t="s">
        <v>98</v>
      </c>
      <c r="L107" s="10">
        <v>45836</v>
      </c>
      <c r="M107" t="s">
        <v>24</v>
      </c>
      <c r="N107">
        <v>1982268</v>
      </c>
      <c r="O107" t="s">
        <v>25</v>
      </c>
      <c r="P107" s="10">
        <v>45809</v>
      </c>
      <c r="Q107">
        <v>134600.71</v>
      </c>
      <c r="R107">
        <v>0</v>
      </c>
      <c r="S107" t="s">
        <v>1098</v>
      </c>
      <c r="T107" t="s">
        <v>1095</v>
      </c>
    </row>
    <row r="108" spans="1:20" x14ac:dyDescent="0.3">
      <c r="A108" t="s">
        <v>302</v>
      </c>
      <c r="B108">
        <v>718531</v>
      </c>
      <c r="C108" t="s">
        <v>303</v>
      </c>
      <c r="D108">
        <v>904962141704</v>
      </c>
      <c r="E108" t="s">
        <v>91</v>
      </c>
      <c r="F108" t="s">
        <v>105</v>
      </c>
      <c r="G108" t="s">
        <v>106</v>
      </c>
      <c r="H108" t="s">
        <v>21</v>
      </c>
      <c r="I108" t="s">
        <v>38</v>
      </c>
      <c r="J108">
        <v>127508.79</v>
      </c>
      <c r="K108" t="s">
        <v>32</v>
      </c>
      <c r="L108" s="10">
        <v>45203</v>
      </c>
      <c r="M108" t="s">
        <v>24</v>
      </c>
      <c r="N108">
        <v>531027.1</v>
      </c>
      <c r="O108" t="s">
        <v>25</v>
      </c>
      <c r="P108" s="10">
        <v>45200</v>
      </c>
      <c r="Q108">
        <v>-127508.79</v>
      </c>
      <c r="R108">
        <v>0</v>
      </c>
      <c r="S108" t="s">
        <v>1098</v>
      </c>
      <c r="T108" t="s">
        <v>1095</v>
      </c>
    </row>
    <row r="109" spans="1:20" x14ac:dyDescent="0.3">
      <c r="A109" t="s">
        <v>304</v>
      </c>
      <c r="B109">
        <v>692379</v>
      </c>
      <c r="C109" t="s">
        <v>305</v>
      </c>
      <c r="D109">
        <v>488415133220</v>
      </c>
      <c r="E109" t="s">
        <v>91</v>
      </c>
      <c r="F109" t="s">
        <v>162</v>
      </c>
      <c r="G109" t="s">
        <v>163</v>
      </c>
      <c r="H109" t="s">
        <v>21</v>
      </c>
      <c r="I109" t="s">
        <v>53</v>
      </c>
      <c r="J109">
        <v>403120.57</v>
      </c>
      <c r="K109" t="s">
        <v>23</v>
      </c>
      <c r="L109" s="10">
        <v>45432</v>
      </c>
      <c r="M109" t="s">
        <v>24</v>
      </c>
      <c r="N109">
        <v>754321.82000000007</v>
      </c>
      <c r="O109" t="s">
        <v>25</v>
      </c>
      <c r="P109" s="10">
        <v>45413</v>
      </c>
      <c r="Q109">
        <v>403120.57</v>
      </c>
      <c r="R109">
        <v>0</v>
      </c>
      <c r="S109" t="s">
        <v>1097</v>
      </c>
      <c r="T109" t="s">
        <v>1095</v>
      </c>
    </row>
    <row r="110" spans="1:20" x14ac:dyDescent="0.3">
      <c r="A110" t="s">
        <v>306</v>
      </c>
      <c r="B110">
        <v>533757</v>
      </c>
      <c r="C110" t="s">
        <v>307</v>
      </c>
      <c r="D110">
        <v>197930940390</v>
      </c>
      <c r="E110" t="s">
        <v>18</v>
      </c>
      <c r="F110" t="s">
        <v>87</v>
      </c>
      <c r="G110" t="s">
        <v>88</v>
      </c>
      <c r="H110" t="s">
        <v>70</v>
      </c>
      <c r="I110" t="s">
        <v>53</v>
      </c>
      <c r="J110">
        <v>384377.95</v>
      </c>
      <c r="K110" t="s">
        <v>23</v>
      </c>
      <c r="L110" s="10">
        <v>45618</v>
      </c>
      <c r="M110" t="s">
        <v>24</v>
      </c>
      <c r="N110">
        <v>943785.49</v>
      </c>
      <c r="O110" t="s">
        <v>25</v>
      </c>
      <c r="P110" s="10">
        <v>45597</v>
      </c>
      <c r="Q110">
        <v>384377.95</v>
      </c>
      <c r="R110">
        <v>0</v>
      </c>
      <c r="S110" t="s">
        <v>1097</v>
      </c>
      <c r="T110" t="s">
        <v>1095</v>
      </c>
    </row>
    <row r="111" spans="1:20" x14ac:dyDescent="0.3">
      <c r="A111" t="s">
        <v>308</v>
      </c>
      <c r="B111">
        <v>317781</v>
      </c>
      <c r="C111" t="s">
        <v>309</v>
      </c>
      <c r="D111">
        <v>689762479864</v>
      </c>
      <c r="E111" t="s">
        <v>35</v>
      </c>
      <c r="F111" t="s">
        <v>60</v>
      </c>
      <c r="G111" t="s">
        <v>61</v>
      </c>
      <c r="H111" t="s">
        <v>21</v>
      </c>
      <c r="I111" t="s">
        <v>38</v>
      </c>
      <c r="J111">
        <v>12223.36</v>
      </c>
      <c r="K111" t="s">
        <v>49</v>
      </c>
      <c r="L111" s="10">
        <v>45254</v>
      </c>
      <c r="M111" t="s">
        <v>24</v>
      </c>
      <c r="N111">
        <v>211768.29</v>
      </c>
      <c r="O111" t="s">
        <v>25</v>
      </c>
      <c r="P111" s="10">
        <v>45231</v>
      </c>
      <c r="Q111">
        <v>-12223.36</v>
      </c>
      <c r="R111">
        <v>0</v>
      </c>
      <c r="S111" t="s">
        <v>1098</v>
      </c>
      <c r="T111" t="s">
        <v>1095</v>
      </c>
    </row>
    <row r="112" spans="1:20" x14ac:dyDescent="0.3">
      <c r="A112" t="s">
        <v>310</v>
      </c>
      <c r="B112">
        <v>409256</v>
      </c>
      <c r="C112" t="s">
        <v>311</v>
      </c>
      <c r="D112">
        <v>616978136350</v>
      </c>
      <c r="E112" t="s">
        <v>28</v>
      </c>
      <c r="F112" t="s">
        <v>192</v>
      </c>
      <c r="G112" t="s">
        <v>193</v>
      </c>
      <c r="H112" t="s">
        <v>67</v>
      </c>
      <c r="I112" t="s">
        <v>53</v>
      </c>
      <c r="J112">
        <v>497985.44</v>
      </c>
      <c r="K112" t="s">
        <v>49</v>
      </c>
      <c r="L112" s="10">
        <v>45505</v>
      </c>
      <c r="M112" t="s">
        <v>113</v>
      </c>
      <c r="N112">
        <v>899053.12</v>
      </c>
      <c r="O112" t="s">
        <v>25</v>
      </c>
      <c r="P112" s="10">
        <v>45505</v>
      </c>
      <c r="Q112">
        <v>497985.44</v>
      </c>
      <c r="R112">
        <v>0</v>
      </c>
      <c r="S112" t="s">
        <v>1098</v>
      </c>
      <c r="T112" t="s">
        <v>1095</v>
      </c>
    </row>
    <row r="113" spans="1:20" x14ac:dyDescent="0.3">
      <c r="A113" t="s">
        <v>312</v>
      </c>
      <c r="B113">
        <v>850255</v>
      </c>
      <c r="C113" t="s">
        <v>313</v>
      </c>
      <c r="D113">
        <v>989289734142</v>
      </c>
      <c r="E113" t="s">
        <v>64</v>
      </c>
      <c r="F113" t="s">
        <v>146</v>
      </c>
      <c r="G113" t="s">
        <v>147</v>
      </c>
      <c r="H113" t="s">
        <v>67</v>
      </c>
      <c r="I113" t="s">
        <v>38</v>
      </c>
      <c r="J113">
        <v>69366.789999999994</v>
      </c>
      <c r="K113" t="s">
        <v>49</v>
      </c>
      <c r="L113" s="10">
        <v>45580</v>
      </c>
      <c r="M113" t="s">
        <v>24</v>
      </c>
      <c r="N113">
        <v>1690157.48</v>
      </c>
      <c r="O113" t="s">
        <v>25</v>
      </c>
      <c r="P113" s="10">
        <v>45566</v>
      </c>
      <c r="Q113">
        <v>-69366.789999999994</v>
      </c>
      <c r="R113">
        <v>0</v>
      </c>
      <c r="S113" t="s">
        <v>1098</v>
      </c>
      <c r="T113" t="s">
        <v>1095</v>
      </c>
    </row>
    <row r="114" spans="1:20" x14ac:dyDescent="0.3">
      <c r="A114" t="s">
        <v>314</v>
      </c>
      <c r="B114">
        <v>678961</v>
      </c>
      <c r="C114" t="s">
        <v>315</v>
      </c>
      <c r="D114">
        <v>353294394784</v>
      </c>
      <c r="E114" t="s">
        <v>35</v>
      </c>
      <c r="F114" t="s">
        <v>42</v>
      </c>
      <c r="G114" t="s">
        <v>43</v>
      </c>
      <c r="H114" t="s">
        <v>21</v>
      </c>
      <c r="I114" t="s">
        <v>53</v>
      </c>
      <c r="J114">
        <v>89438.03</v>
      </c>
      <c r="K114" t="s">
        <v>23</v>
      </c>
      <c r="L114" s="10">
        <v>45502</v>
      </c>
      <c r="M114" t="s">
        <v>24</v>
      </c>
      <c r="N114">
        <v>613416.06000000006</v>
      </c>
      <c r="O114" t="s">
        <v>25</v>
      </c>
      <c r="P114" s="10">
        <v>45474</v>
      </c>
      <c r="Q114">
        <v>89438.03</v>
      </c>
      <c r="R114">
        <v>0</v>
      </c>
      <c r="S114" t="s">
        <v>1097</v>
      </c>
      <c r="T114" t="s">
        <v>1095</v>
      </c>
    </row>
    <row r="115" spans="1:20" x14ac:dyDescent="0.3">
      <c r="A115" t="s">
        <v>316</v>
      </c>
      <c r="B115">
        <v>172992</v>
      </c>
      <c r="C115" t="s">
        <v>317</v>
      </c>
      <c r="D115">
        <v>879867008186</v>
      </c>
      <c r="E115" t="s">
        <v>91</v>
      </c>
      <c r="F115" t="s">
        <v>109</v>
      </c>
      <c r="G115" t="s">
        <v>110</v>
      </c>
      <c r="H115" t="s">
        <v>31</v>
      </c>
      <c r="I115" t="s">
        <v>38</v>
      </c>
      <c r="J115">
        <v>39572.94</v>
      </c>
      <c r="K115" t="s">
        <v>49</v>
      </c>
      <c r="L115" s="10">
        <v>45461</v>
      </c>
      <c r="M115" t="s">
        <v>24</v>
      </c>
      <c r="N115">
        <v>1837709.49</v>
      </c>
      <c r="O115" t="s">
        <v>25</v>
      </c>
      <c r="P115" s="10">
        <v>45444</v>
      </c>
      <c r="Q115">
        <v>-39572.94</v>
      </c>
      <c r="R115">
        <v>0</v>
      </c>
      <c r="S115" t="s">
        <v>1098</v>
      </c>
      <c r="T115" t="s">
        <v>1095</v>
      </c>
    </row>
    <row r="116" spans="1:20" x14ac:dyDescent="0.3">
      <c r="A116" t="s">
        <v>318</v>
      </c>
      <c r="B116">
        <v>618099</v>
      </c>
      <c r="C116" t="s">
        <v>319</v>
      </c>
      <c r="D116">
        <v>346427521349</v>
      </c>
      <c r="E116" t="s">
        <v>35</v>
      </c>
      <c r="F116" t="s">
        <v>60</v>
      </c>
      <c r="G116" t="s">
        <v>61</v>
      </c>
      <c r="H116" t="s">
        <v>31</v>
      </c>
      <c r="I116" t="s">
        <v>53</v>
      </c>
      <c r="J116">
        <v>175602.6</v>
      </c>
      <c r="K116" t="s">
        <v>49</v>
      </c>
      <c r="L116" s="10">
        <v>45299</v>
      </c>
      <c r="M116" t="s">
        <v>24</v>
      </c>
      <c r="N116">
        <v>1085277.28</v>
      </c>
      <c r="O116" t="s">
        <v>25</v>
      </c>
      <c r="P116" s="10">
        <v>45292</v>
      </c>
      <c r="Q116">
        <v>175602.6</v>
      </c>
      <c r="R116">
        <v>0</v>
      </c>
      <c r="S116" t="s">
        <v>1098</v>
      </c>
      <c r="T116" t="s">
        <v>1095</v>
      </c>
    </row>
    <row r="117" spans="1:20" x14ac:dyDescent="0.3">
      <c r="A117" t="s">
        <v>320</v>
      </c>
      <c r="B117">
        <v>245396</v>
      </c>
      <c r="C117" t="s">
        <v>321</v>
      </c>
      <c r="D117">
        <v>142582750102</v>
      </c>
      <c r="E117" t="s">
        <v>91</v>
      </c>
      <c r="F117" t="s">
        <v>130</v>
      </c>
      <c r="G117" t="s">
        <v>131</v>
      </c>
      <c r="H117" t="s">
        <v>21</v>
      </c>
      <c r="I117" t="s">
        <v>48</v>
      </c>
      <c r="J117">
        <v>287661.89</v>
      </c>
      <c r="K117" t="s">
        <v>39</v>
      </c>
      <c r="L117" s="10">
        <v>45568</v>
      </c>
      <c r="M117" t="s">
        <v>24</v>
      </c>
      <c r="N117">
        <v>509167.84</v>
      </c>
      <c r="O117" t="s">
        <v>25</v>
      </c>
      <c r="P117" s="10">
        <v>45566</v>
      </c>
      <c r="Q117">
        <v>287661.89</v>
      </c>
      <c r="R117">
        <v>0</v>
      </c>
      <c r="S117" t="s">
        <v>1098</v>
      </c>
      <c r="T117" t="s">
        <v>1095</v>
      </c>
    </row>
    <row r="118" spans="1:20" x14ac:dyDescent="0.3">
      <c r="A118" t="s">
        <v>322</v>
      </c>
      <c r="B118">
        <v>396948</v>
      </c>
      <c r="C118" t="s">
        <v>323</v>
      </c>
      <c r="D118">
        <v>847152245069</v>
      </c>
      <c r="E118" t="s">
        <v>28</v>
      </c>
      <c r="F118" t="s">
        <v>150</v>
      </c>
      <c r="G118" t="s">
        <v>151</v>
      </c>
      <c r="H118" t="s">
        <v>31</v>
      </c>
      <c r="I118" t="s">
        <v>22</v>
      </c>
      <c r="J118">
        <v>380035.38</v>
      </c>
      <c r="K118" t="s">
        <v>98</v>
      </c>
      <c r="L118" s="10">
        <v>45762</v>
      </c>
      <c r="M118" t="s">
        <v>24</v>
      </c>
      <c r="N118">
        <v>521060.94</v>
      </c>
      <c r="O118" t="s">
        <v>25</v>
      </c>
      <c r="P118" s="10">
        <v>45748</v>
      </c>
      <c r="Q118">
        <v>380035.38</v>
      </c>
      <c r="R118">
        <v>0</v>
      </c>
      <c r="S118" t="s">
        <v>1098</v>
      </c>
      <c r="T118" t="s">
        <v>1095</v>
      </c>
    </row>
    <row r="119" spans="1:20" x14ac:dyDescent="0.3">
      <c r="A119" t="s">
        <v>324</v>
      </c>
      <c r="B119">
        <v>627945</v>
      </c>
      <c r="C119" t="s">
        <v>325</v>
      </c>
      <c r="D119">
        <v>952800653604</v>
      </c>
      <c r="E119" t="s">
        <v>64</v>
      </c>
      <c r="F119" t="s">
        <v>146</v>
      </c>
      <c r="G119" t="s">
        <v>147</v>
      </c>
      <c r="H119" t="s">
        <v>67</v>
      </c>
      <c r="I119" t="s">
        <v>48</v>
      </c>
      <c r="J119">
        <v>153804.91</v>
      </c>
      <c r="K119" t="s">
        <v>49</v>
      </c>
      <c r="L119" s="10">
        <v>45170</v>
      </c>
      <c r="M119" t="s">
        <v>24</v>
      </c>
      <c r="N119">
        <v>1221345.6499999999</v>
      </c>
      <c r="O119" t="s">
        <v>25</v>
      </c>
      <c r="P119" s="10">
        <v>45170</v>
      </c>
      <c r="Q119">
        <v>153804.91</v>
      </c>
      <c r="R119">
        <v>0</v>
      </c>
      <c r="S119" t="s">
        <v>1098</v>
      </c>
      <c r="T119" t="s">
        <v>1095</v>
      </c>
    </row>
    <row r="120" spans="1:20" x14ac:dyDescent="0.3">
      <c r="A120" t="s">
        <v>326</v>
      </c>
      <c r="B120">
        <v>439411</v>
      </c>
      <c r="C120" t="s">
        <v>327</v>
      </c>
      <c r="D120">
        <v>802999451859</v>
      </c>
      <c r="E120" t="s">
        <v>35</v>
      </c>
      <c r="F120" t="s">
        <v>73</v>
      </c>
      <c r="G120" t="s">
        <v>74</v>
      </c>
      <c r="H120" t="s">
        <v>70</v>
      </c>
      <c r="I120" t="s">
        <v>53</v>
      </c>
      <c r="J120">
        <v>113618.28</v>
      </c>
      <c r="K120" t="s">
        <v>49</v>
      </c>
      <c r="L120" s="10">
        <v>45514</v>
      </c>
      <c r="M120" t="s">
        <v>24</v>
      </c>
      <c r="N120">
        <v>1191424.69</v>
      </c>
      <c r="O120" t="s">
        <v>25</v>
      </c>
      <c r="P120" s="10">
        <v>45505</v>
      </c>
      <c r="Q120">
        <v>113618.28</v>
      </c>
      <c r="R120">
        <v>0</v>
      </c>
      <c r="S120" t="s">
        <v>1098</v>
      </c>
      <c r="T120" t="s">
        <v>1095</v>
      </c>
    </row>
    <row r="121" spans="1:20" x14ac:dyDescent="0.3">
      <c r="A121" t="s">
        <v>328</v>
      </c>
      <c r="B121">
        <v>900676</v>
      </c>
      <c r="C121" t="s">
        <v>329</v>
      </c>
      <c r="D121">
        <v>980417793826</v>
      </c>
      <c r="E121" t="s">
        <v>28</v>
      </c>
      <c r="F121" t="s">
        <v>192</v>
      </c>
      <c r="G121" t="s">
        <v>193</v>
      </c>
      <c r="H121" t="s">
        <v>31</v>
      </c>
      <c r="I121" t="s">
        <v>53</v>
      </c>
      <c r="J121">
        <v>433074.01</v>
      </c>
      <c r="K121" t="s">
        <v>39</v>
      </c>
      <c r="L121" s="10">
        <v>45464</v>
      </c>
      <c r="M121" t="s">
        <v>24</v>
      </c>
      <c r="N121">
        <v>1054990.6399999999</v>
      </c>
      <c r="O121" t="s">
        <v>25</v>
      </c>
      <c r="P121" s="10">
        <v>45444</v>
      </c>
      <c r="Q121">
        <v>433074.01</v>
      </c>
      <c r="R121">
        <v>0</v>
      </c>
      <c r="S121" t="s">
        <v>1098</v>
      </c>
      <c r="T121" t="s">
        <v>1095</v>
      </c>
    </row>
    <row r="122" spans="1:20" x14ac:dyDescent="0.3">
      <c r="A122" t="s">
        <v>330</v>
      </c>
      <c r="B122">
        <v>843102</v>
      </c>
      <c r="C122" t="s">
        <v>331</v>
      </c>
      <c r="D122">
        <v>920697483092</v>
      </c>
      <c r="E122" t="s">
        <v>64</v>
      </c>
      <c r="F122" t="s">
        <v>83</v>
      </c>
      <c r="G122" t="s">
        <v>84</v>
      </c>
      <c r="H122" t="s">
        <v>67</v>
      </c>
      <c r="I122" t="s">
        <v>22</v>
      </c>
      <c r="J122">
        <v>149417.23000000001</v>
      </c>
      <c r="K122" t="s">
        <v>98</v>
      </c>
      <c r="L122" s="10">
        <v>45839</v>
      </c>
      <c r="M122" t="s">
        <v>24</v>
      </c>
      <c r="N122">
        <v>274117.08</v>
      </c>
      <c r="O122" t="s">
        <v>25</v>
      </c>
      <c r="P122" s="10">
        <v>45839</v>
      </c>
      <c r="Q122">
        <v>149417.23000000001</v>
      </c>
      <c r="R122">
        <v>0</v>
      </c>
      <c r="S122" t="s">
        <v>1098</v>
      </c>
      <c r="T122" t="s">
        <v>1095</v>
      </c>
    </row>
    <row r="123" spans="1:20" x14ac:dyDescent="0.3">
      <c r="A123" t="s">
        <v>332</v>
      </c>
      <c r="B123">
        <v>181978</v>
      </c>
      <c r="C123" t="s">
        <v>333</v>
      </c>
      <c r="D123">
        <v>440778300689</v>
      </c>
      <c r="E123" t="s">
        <v>18</v>
      </c>
      <c r="F123" t="s">
        <v>87</v>
      </c>
      <c r="G123" t="s">
        <v>88</v>
      </c>
      <c r="H123" t="s">
        <v>21</v>
      </c>
      <c r="I123" t="s">
        <v>22</v>
      </c>
      <c r="J123">
        <v>390198.76</v>
      </c>
      <c r="K123" t="s">
        <v>32</v>
      </c>
      <c r="L123" s="10">
        <v>45476</v>
      </c>
      <c r="M123" t="s">
        <v>24</v>
      </c>
      <c r="N123">
        <v>2155021.19</v>
      </c>
      <c r="O123" t="s">
        <v>25</v>
      </c>
      <c r="P123" s="10">
        <v>45474</v>
      </c>
      <c r="Q123">
        <v>390198.76</v>
      </c>
      <c r="R123">
        <v>0</v>
      </c>
      <c r="S123" t="s">
        <v>1098</v>
      </c>
      <c r="T123" t="s">
        <v>1095</v>
      </c>
    </row>
    <row r="124" spans="1:20" x14ac:dyDescent="0.3">
      <c r="A124" t="s">
        <v>334</v>
      </c>
      <c r="B124">
        <v>948408</v>
      </c>
      <c r="C124" t="s">
        <v>335</v>
      </c>
      <c r="D124">
        <v>176675428770</v>
      </c>
      <c r="E124" t="s">
        <v>28</v>
      </c>
      <c r="F124" t="s">
        <v>192</v>
      </c>
      <c r="G124" t="s">
        <v>193</v>
      </c>
      <c r="H124" t="s">
        <v>31</v>
      </c>
      <c r="I124" t="s">
        <v>53</v>
      </c>
      <c r="J124">
        <v>244655.55</v>
      </c>
      <c r="K124" t="s">
        <v>49</v>
      </c>
      <c r="L124" s="10">
        <v>45614</v>
      </c>
      <c r="M124" t="s">
        <v>24</v>
      </c>
      <c r="N124">
        <v>1771612.81</v>
      </c>
      <c r="O124" t="s">
        <v>25</v>
      </c>
      <c r="P124" s="10">
        <v>45597</v>
      </c>
      <c r="Q124">
        <v>244655.55</v>
      </c>
      <c r="R124">
        <v>0</v>
      </c>
      <c r="S124" t="s">
        <v>1098</v>
      </c>
      <c r="T124" t="s">
        <v>1095</v>
      </c>
    </row>
    <row r="125" spans="1:20" x14ac:dyDescent="0.3">
      <c r="A125" t="s">
        <v>336</v>
      </c>
      <c r="B125">
        <v>524156</v>
      </c>
      <c r="C125" t="s">
        <v>337</v>
      </c>
      <c r="D125">
        <v>300442436792</v>
      </c>
      <c r="E125" t="s">
        <v>91</v>
      </c>
      <c r="F125" t="s">
        <v>162</v>
      </c>
      <c r="G125" t="s">
        <v>163</v>
      </c>
      <c r="H125" t="s">
        <v>67</v>
      </c>
      <c r="I125" t="s">
        <v>22</v>
      </c>
      <c r="J125">
        <v>87325.57</v>
      </c>
      <c r="K125" t="s">
        <v>32</v>
      </c>
      <c r="L125" s="10">
        <v>45745</v>
      </c>
      <c r="M125" t="s">
        <v>113</v>
      </c>
      <c r="N125">
        <v>807658.13000000012</v>
      </c>
      <c r="O125" t="s">
        <v>25</v>
      </c>
      <c r="P125" s="10">
        <v>45717</v>
      </c>
      <c r="Q125">
        <v>87325.57</v>
      </c>
      <c r="R125">
        <v>0</v>
      </c>
      <c r="S125" t="s">
        <v>1098</v>
      </c>
      <c r="T125" t="s">
        <v>1095</v>
      </c>
    </row>
    <row r="126" spans="1:20" x14ac:dyDescent="0.3">
      <c r="A126" t="s">
        <v>338</v>
      </c>
      <c r="B126">
        <v>223350</v>
      </c>
      <c r="C126" t="s">
        <v>339</v>
      </c>
      <c r="D126">
        <v>650905653791</v>
      </c>
      <c r="E126" t="s">
        <v>28</v>
      </c>
      <c r="F126" t="s">
        <v>150</v>
      </c>
      <c r="G126" t="s">
        <v>151</v>
      </c>
      <c r="H126" t="s">
        <v>67</v>
      </c>
      <c r="I126" t="s">
        <v>53</v>
      </c>
      <c r="J126">
        <v>83160.84</v>
      </c>
      <c r="K126" t="s">
        <v>49</v>
      </c>
      <c r="L126" s="10">
        <v>45408</v>
      </c>
      <c r="M126" t="s">
        <v>24</v>
      </c>
      <c r="N126">
        <v>1048411.65</v>
      </c>
      <c r="O126" t="s">
        <v>25</v>
      </c>
      <c r="P126" s="10">
        <v>45383</v>
      </c>
      <c r="Q126">
        <v>83160.84</v>
      </c>
      <c r="R126">
        <v>0</v>
      </c>
      <c r="S126" t="s">
        <v>1098</v>
      </c>
      <c r="T126" t="s">
        <v>1095</v>
      </c>
    </row>
    <row r="127" spans="1:20" x14ac:dyDescent="0.3">
      <c r="A127" t="s">
        <v>340</v>
      </c>
      <c r="B127">
        <v>860759</v>
      </c>
      <c r="C127" t="s">
        <v>341</v>
      </c>
      <c r="D127">
        <v>274518043942</v>
      </c>
      <c r="E127" t="s">
        <v>91</v>
      </c>
      <c r="F127" t="s">
        <v>130</v>
      </c>
      <c r="G127" t="s">
        <v>131</v>
      </c>
      <c r="H127" t="s">
        <v>67</v>
      </c>
      <c r="I127" t="s">
        <v>48</v>
      </c>
      <c r="J127">
        <v>151300.17000000001</v>
      </c>
      <c r="K127" t="s">
        <v>23</v>
      </c>
      <c r="L127" s="10">
        <v>45591</v>
      </c>
      <c r="M127" t="s">
        <v>24</v>
      </c>
      <c r="N127">
        <v>2103522.29</v>
      </c>
      <c r="O127" t="s">
        <v>25</v>
      </c>
      <c r="P127" s="10">
        <v>45566</v>
      </c>
      <c r="Q127">
        <v>151300.17000000001</v>
      </c>
      <c r="R127">
        <v>0</v>
      </c>
      <c r="S127" t="s">
        <v>1097</v>
      </c>
      <c r="T127" t="s">
        <v>1095</v>
      </c>
    </row>
    <row r="128" spans="1:20" x14ac:dyDescent="0.3">
      <c r="A128" t="s">
        <v>342</v>
      </c>
      <c r="B128">
        <v>275035</v>
      </c>
      <c r="C128" t="s">
        <v>343</v>
      </c>
      <c r="D128">
        <v>880276020182</v>
      </c>
      <c r="E128" t="s">
        <v>18</v>
      </c>
      <c r="F128" t="s">
        <v>19</v>
      </c>
      <c r="G128" t="s">
        <v>20</v>
      </c>
      <c r="H128" t="s">
        <v>21</v>
      </c>
      <c r="I128" t="s">
        <v>53</v>
      </c>
      <c r="J128">
        <v>459795.81</v>
      </c>
      <c r="K128" t="s">
        <v>49</v>
      </c>
      <c r="L128" s="10">
        <v>45724</v>
      </c>
      <c r="M128" t="s">
        <v>24</v>
      </c>
      <c r="N128">
        <v>727378.75</v>
      </c>
      <c r="O128" t="s">
        <v>25</v>
      </c>
      <c r="P128" s="10">
        <v>45717</v>
      </c>
      <c r="Q128">
        <v>459795.81</v>
      </c>
      <c r="R128">
        <v>0</v>
      </c>
      <c r="S128" t="s">
        <v>1098</v>
      </c>
      <c r="T128" t="s">
        <v>1095</v>
      </c>
    </row>
    <row r="129" spans="1:20" x14ac:dyDescent="0.3">
      <c r="A129" t="s">
        <v>344</v>
      </c>
      <c r="B129">
        <v>946700</v>
      </c>
      <c r="C129" t="s">
        <v>345</v>
      </c>
      <c r="D129">
        <v>444007230901</v>
      </c>
      <c r="E129" t="s">
        <v>18</v>
      </c>
      <c r="F129" t="s">
        <v>156</v>
      </c>
      <c r="G129" t="s">
        <v>157</v>
      </c>
      <c r="H129" t="s">
        <v>21</v>
      </c>
      <c r="I129" t="s">
        <v>48</v>
      </c>
      <c r="J129">
        <v>234750.67</v>
      </c>
      <c r="K129" t="s">
        <v>39</v>
      </c>
      <c r="L129" s="10">
        <v>45620</v>
      </c>
      <c r="M129" t="s">
        <v>24</v>
      </c>
      <c r="N129">
        <v>1655537.9</v>
      </c>
      <c r="O129" t="s">
        <v>25</v>
      </c>
      <c r="P129" s="10">
        <v>45597</v>
      </c>
      <c r="Q129">
        <v>234750.67</v>
      </c>
      <c r="R129">
        <v>0</v>
      </c>
      <c r="S129" t="s">
        <v>1098</v>
      </c>
      <c r="T129" t="s">
        <v>1095</v>
      </c>
    </row>
    <row r="130" spans="1:20" x14ac:dyDescent="0.3">
      <c r="A130" t="s">
        <v>346</v>
      </c>
      <c r="B130">
        <v>334468</v>
      </c>
      <c r="C130" t="s">
        <v>347</v>
      </c>
      <c r="D130">
        <v>799839515528</v>
      </c>
      <c r="E130" t="s">
        <v>64</v>
      </c>
      <c r="F130" t="s">
        <v>65</v>
      </c>
      <c r="G130" t="s">
        <v>66</v>
      </c>
      <c r="H130" t="s">
        <v>31</v>
      </c>
      <c r="I130" t="s">
        <v>48</v>
      </c>
      <c r="J130">
        <v>252952.49</v>
      </c>
      <c r="K130" t="s">
        <v>32</v>
      </c>
      <c r="L130" s="10">
        <v>45232</v>
      </c>
      <c r="M130" t="s">
        <v>24</v>
      </c>
      <c r="N130">
        <v>1472571.22</v>
      </c>
      <c r="O130" t="s">
        <v>25</v>
      </c>
      <c r="P130" s="10">
        <v>45231</v>
      </c>
      <c r="Q130">
        <v>252952.49</v>
      </c>
      <c r="R130">
        <v>0</v>
      </c>
      <c r="S130" t="s">
        <v>1098</v>
      </c>
      <c r="T130" t="s">
        <v>1095</v>
      </c>
    </row>
    <row r="131" spans="1:20" x14ac:dyDescent="0.3">
      <c r="A131" t="s">
        <v>348</v>
      </c>
      <c r="B131">
        <v>774637</v>
      </c>
      <c r="C131" t="s">
        <v>349</v>
      </c>
      <c r="D131">
        <v>431080009450</v>
      </c>
      <c r="E131" t="s">
        <v>64</v>
      </c>
      <c r="F131" t="s">
        <v>65</v>
      </c>
      <c r="G131" t="s">
        <v>66</v>
      </c>
      <c r="H131" t="s">
        <v>21</v>
      </c>
      <c r="I131" t="s">
        <v>22</v>
      </c>
      <c r="J131">
        <v>269429.23</v>
      </c>
      <c r="K131" t="s">
        <v>39</v>
      </c>
      <c r="L131" s="10">
        <v>45406</v>
      </c>
      <c r="M131" t="s">
        <v>24</v>
      </c>
      <c r="N131">
        <v>647570.24</v>
      </c>
      <c r="O131" t="s">
        <v>25</v>
      </c>
      <c r="P131" s="10">
        <v>45383</v>
      </c>
      <c r="Q131">
        <v>269429.23</v>
      </c>
      <c r="R131">
        <v>0</v>
      </c>
      <c r="S131" t="s">
        <v>1098</v>
      </c>
      <c r="T131" t="s">
        <v>1095</v>
      </c>
    </row>
    <row r="132" spans="1:20" x14ac:dyDescent="0.3">
      <c r="A132" t="s">
        <v>350</v>
      </c>
      <c r="B132">
        <v>851296</v>
      </c>
      <c r="C132" t="s">
        <v>351</v>
      </c>
      <c r="D132">
        <v>247431431877</v>
      </c>
      <c r="E132" t="s">
        <v>18</v>
      </c>
      <c r="F132" t="s">
        <v>56</v>
      </c>
      <c r="G132" t="s">
        <v>57</v>
      </c>
      <c r="H132" t="s">
        <v>67</v>
      </c>
      <c r="I132" t="s">
        <v>48</v>
      </c>
      <c r="J132">
        <v>193920.04</v>
      </c>
      <c r="K132" t="s">
        <v>32</v>
      </c>
      <c r="L132" s="10">
        <v>45120</v>
      </c>
      <c r="M132" t="s">
        <v>24</v>
      </c>
      <c r="N132">
        <v>1796676.19</v>
      </c>
      <c r="O132" t="s">
        <v>25</v>
      </c>
      <c r="P132" s="10">
        <v>45108</v>
      </c>
      <c r="Q132">
        <v>193920.04</v>
      </c>
      <c r="R132">
        <v>0</v>
      </c>
      <c r="S132" t="s">
        <v>1098</v>
      </c>
      <c r="T132" t="s">
        <v>1095</v>
      </c>
    </row>
    <row r="133" spans="1:20" x14ac:dyDescent="0.3">
      <c r="A133" t="s">
        <v>352</v>
      </c>
      <c r="B133">
        <v>322365</v>
      </c>
      <c r="C133" t="s">
        <v>353</v>
      </c>
      <c r="D133">
        <v>265051585781</v>
      </c>
      <c r="E133" t="s">
        <v>35</v>
      </c>
      <c r="F133" t="s">
        <v>42</v>
      </c>
      <c r="G133" t="s">
        <v>43</v>
      </c>
      <c r="H133" t="s">
        <v>70</v>
      </c>
      <c r="I133" t="s">
        <v>38</v>
      </c>
      <c r="J133">
        <v>56240.77</v>
      </c>
      <c r="K133" t="s">
        <v>49</v>
      </c>
      <c r="L133" s="10">
        <v>45441</v>
      </c>
      <c r="M133" t="s">
        <v>24</v>
      </c>
      <c r="N133">
        <v>1542002.49</v>
      </c>
      <c r="O133" t="s">
        <v>25</v>
      </c>
      <c r="P133" s="10">
        <v>45413</v>
      </c>
      <c r="Q133">
        <v>-56240.77</v>
      </c>
      <c r="R133">
        <v>0</v>
      </c>
      <c r="S133" t="s">
        <v>1098</v>
      </c>
      <c r="T133" t="s">
        <v>1095</v>
      </c>
    </row>
    <row r="134" spans="1:20" x14ac:dyDescent="0.3">
      <c r="A134" t="s">
        <v>354</v>
      </c>
      <c r="B134">
        <v>935644</v>
      </c>
      <c r="C134" t="s">
        <v>355</v>
      </c>
      <c r="D134">
        <v>177523340140</v>
      </c>
      <c r="E134" t="s">
        <v>35</v>
      </c>
      <c r="F134" t="s">
        <v>136</v>
      </c>
      <c r="G134" t="s">
        <v>137</v>
      </c>
      <c r="H134" t="s">
        <v>21</v>
      </c>
      <c r="I134" t="s">
        <v>22</v>
      </c>
      <c r="J134">
        <v>596395.99</v>
      </c>
      <c r="K134" t="s">
        <v>32</v>
      </c>
      <c r="L134" s="10">
        <v>45698</v>
      </c>
      <c r="M134" t="s">
        <v>113</v>
      </c>
      <c r="N134">
        <v>1639467.16</v>
      </c>
      <c r="O134" t="s">
        <v>25</v>
      </c>
      <c r="P134" s="10">
        <v>45689</v>
      </c>
      <c r="Q134">
        <v>596395.99</v>
      </c>
      <c r="R134">
        <v>0</v>
      </c>
      <c r="S134" t="s">
        <v>1098</v>
      </c>
      <c r="T134" t="s">
        <v>1095</v>
      </c>
    </row>
    <row r="135" spans="1:20" x14ac:dyDescent="0.3">
      <c r="A135" t="s">
        <v>356</v>
      </c>
      <c r="B135">
        <v>945657</v>
      </c>
      <c r="C135" t="s">
        <v>357</v>
      </c>
      <c r="D135">
        <v>792853366341</v>
      </c>
      <c r="E135" t="s">
        <v>91</v>
      </c>
      <c r="F135" t="s">
        <v>105</v>
      </c>
      <c r="G135" t="s">
        <v>106</v>
      </c>
      <c r="H135" t="s">
        <v>31</v>
      </c>
      <c r="I135" t="s">
        <v>48</v>
      </c>
      <c r="J135">
        <v>55038.21</v>
      </c>
      <c r="K135" t="s">
        <v>49</v>
      </c>
      <c r="L135" s="10">
        <v>45563</v>
      </c>
      <c r="M135" t="s">
        <v>24</v>
      </c>
      <c r="N135">
        <v>1811889.41</v>
      </c>
      <c r="O135" t="s">
        <v>25</v>
      </c>
      <c r="P135" s="10">
        <v>45536</v>
      </c>
      <c r="Q135">
        <v>55038.21</v>
      </c>
      <c r="R135">
        <v>0</v>
      </c>
      <c r="S135" t="s">
        <v>1098</v>
      </c>
      <c r="T135" t="s">
        <v>1095</v>
      </c>
    </row>
    <row r="136" spans="1:20" x14ac:dyDescent="0.3">
      <c r="A136" t="s">
        <v>358</v>
      </c>
      <c r="B136">
        <v>752028</v>
      </c>
      <c r="C136" t="s">
        <v>359</v>
      </c>
      <c r="D136">
        <v>805666817485</v>
      </c>
      <c r="E136" t="s">
        <v>18</v>
      </c>
      <c r="F136" t="s">
        <v>156</v>
      </c>
      <c r="G136" t="s">
        <v>157</v>
      </c>
      <c r="H136" t="s">
        <v>70</v>
      </c>
      <c r="I136" t="s">
        <v>48</v>
      </c>
      <c r="J136">
        <v>115885.54</v>
      </c>
      <c r="K136" t="s">
        <v>23</v>
      </c>
      <c r="L136" s="10">
        <v>45358</v>
      </c>
      <c r="M136" t="s">
        <v>24</v>
      </c>
      <c r="N136">
        <v>1391066.47</v>
      </c>
      <c r="O136" t="s">
        <v>25</v>
      </c>
      <c r="P136" s="10">
        <v>45352</v>
      </c>
      <c r="Q136">
        <v>115885.54</v>
      </c>
      <c r="R136">
        <v>0</v>
      </c>
      <c r="S136" t="s">
        <v>1097</v>
      </c>
      <c r="T136" t="s">
        <v>1095</v>
      </c>
    </row>
    <row r="137" spans="1:20" x14ac:dyDescent="0.3">
      <c r="A137" t="s">
        <v>360</v>
      </c>
      <c r="B137">
        <v>751030</v>
      </c>
      <c r="C137" t="s">
        <v>361</v>
      </c>
      <c r="D137">
        <v>990579280992</v>
      </c>
      <c r="E137" t="s">
        <v>64</v>
      </c>
      <c r="F137" t="s">
        <v>65</v>
      </c>
      <c r="G137" t="s">
        <v>66</v>
      </c>
      <c r="H137" t="s">
        <v>70</v>
      </c>
      <c r="I137" t="s">
        <v>22</v>
      </c>
      <c r="J137">
        <v>526549.79</v>
      </c>
      <c r="K137" t="s">
        <v>98</v>
      </c>
      <c r="L137" s="10">
        <v>45749</v>
      </c>
      <c r="M137" t="s">
        <v>24</v>
      </c>
      <c r="N137">
        <v>1574601.6</v>
      </c>
      <c r="O137" t="s">
        <v>25</v>
      </c>
      <c r="P137" s="10">
        <v>45748</v>
      </c>
      <c r="Q137">
        <v>526549.79</v>
      </c>
      <c r="R137">
        <v>0</v>
      </c>
      <c r="S137" t="s">
        <v>1098</v>
      </c>
      <c r="T137" t="s">
        <v>1095</v>
      </c>
    </row>
    <row r="138" spans="1:20" x14ac:dyDescent="0.3">
      <c r="A138" t="s">
        <v>362</v>
      </c>
      <c r="B138">
        <v>728256</v>
      </c>
      <c r="C138" t="s">
        <v>363</v>
      </c>
      <c r="D138">
        <v>824494447566</v>
      </c>
      <c r="E138" t="s">
        <v>18</v>
      </c>
      <c r="F138" t="s">
        <v>19</v>
      </c>
      <c r="G138" t="s">
        <v>20</v>
      </c>
      <c r="H138" t="s">
        <v>67</v>
      </c>
      <c r="I138" t="s">
        <v>38</v>
      </c>
      <c r="J138">
        <v>44496.26</v>
      </c>
      <c r="K138" t="s">
        <v>39</v>
      </c>
      <c r="L138" s="10">
        <v>45536</v>
      </c>
      <c r="M138" t="s">
        <v>24</v>
      </c>
      <c r="N138">
        <v>1439911.83</v>
      </c>
      <c r="O138" t="s">
        <v>25</v>
      </c>
      <c r="P138" s="10">
        <v>45536</v>
      </c>
      <c r="Q138">
        <v>-44496.26</v>
      </c>
      <c r="R138">
        <v>0</v>
      </c>
      <c r="S138" t="s">
        <v>1098</v>
      </c>
      <c r="T138" t="s">
        <v>1095</v>
      </c>
    </row>
    <row r="139" spans="1:20" x14ac:dyDescent="0.3">
      <c r="A139" t="s">
        <v>364</v>
      </c>
      <c r="B139">
        <v>647407</v>
      </c>
      <c r="C139" t="s">
        <v>365</v>
      </c>
      <c r="D139">
        <v>859240583067</v>
      </c>
      <c r="E139" t="s">
        <v>91</v>
      </c>
      <c r="F139" t="s">
        <v>130</v>
      </c>
      <c r="G139" t="s">
        <v>131</v>
      </c>
      <c r="H139" t="s">
        <v>67</v>
      </c>
      <c r="I139" t="s">
        <v>48</v>
      </c>
      <c r="J139">
        <v>163254.69</v>
      </c>
      <c r="K139" t="s">
        <v>49</v>
      </c>
      <c r="L139" s="10">
        <v>45330</v>
      </c>
      <c r="M139" t="s">
        <v>24</v>
      </c>
      <c r="N139">
        <v>1363525.22</v>
      </c>
      <c r="O139" t="s">
        <v>25</v>
      </c>
      <c r="P139" s="10">
        <v>45323</v>
      </c>
      <c r="Q139">
        <v>163254.69</v>
      </c>
      <c r="R139">
        <v>0</v>
      </c>
      <c r="S139" t="s">
        <v>1098</v>
      </c>
      <c r="T139" t="s">
        <v>1095</v>
      </c>
    </row>
    <row r="140" spans="1:20" x14ac:dyDescent="0.3">
      <c r="A140" t="s">
        <v>366</v>
      </c>
      <c r="B140">
        <v>564962</v>
      </c>
      <c r="C140" t="s">
        <v>367</v>
      </c>
      <c r="D140">
        <v>462554663247</v>
      </c>
      <c r="E140" t="s">
        <v>35</v>
      </c>
      <c r="F140" t="s">
        <v>36</v>
      </c>
      <c r="G140" t="s">
        <v>37</v>
      </c>
      <c r="H140" t="s">
        <v>31</v>
      </c>
      <c r="I140" t="s">
        <v>38</v>
      </c>
      <c r="J140">
        <v>87082.25</v>
      </c>
      <c r="K140" t="s">
        <v>39</v>
      </c>
      <c r="L140" s="10">
        <v>45186</v>
      </c>
      <c r="M140" t="s">
        <v>24</v>
      </c>
      <c r="N140">
        <v>1821809.35</v>
      </c>
      <c r="O140" t="s">
        <v>25</v>
      </c>
      <c r="P140" s="10">
        <v>45170</v>
      </c>
      <c r="Q140">
        <v>-87082.25</v>
      </c>
      <c r="R140">
        <v>0</v>
      </c>
      <c r="S140" t="s">
        <v>1098</v>
      </c>
      <c r="T140" t="s">
        <v>1095</v>
      </c>
    </row>
    <row r="141" spans="1:20" x14ac:dyDescent="0.3">
      <c r="A141" t="s">
        <v>368</v>
      </c>
      <c r="B141">
        <v>772937</v>
      </c>
      <c r="C141" t="s">
        <v>369</v>
      </c>
      <c r="D141">
        <v>424979154506</v>
      </c>
      <c r="E141" t="s">
        <v>35</v>
      </c>
      <c r="F141" t="s">
        <v>60</v>
      </c>
      <c r="G141" t="s">
        <v>61</v>
      </c>
      <c r="H141" t="s">
        <v>31</v>
      </c>
      <c r="I141" t="s">
        <v>53</v>
      </c>
      <c r="J141">
        <v>16558.98</v>
      </c>
      <c r="K141" t="s">
        <v>32</v>
      </c>
      <c r="L141" s="10">
        <v>45252</v>
      </c>
      <c r="M141" t="s">
        <v>24</v>
      </c>
      <c r="N141">
        <v>1050564.5900000001</v>
      </c>
      <c r="O141" t="s">
        <v>25</v>
      </c>
      <c r="P141" s="10">
        <v>45231</v>
      </c>
      <c r="Q141">
        <v>16558.98</v>
      </c>
      <c r="R141">
        <v>0</v>
      </c>
      <c r="S141" t="s">
        <v>1098</v>
      </c>
      <c r="T141" t="s">
        <v>1095</v>
      </c>
    </row>
    <row r="142" spans="1:20" x14ac:dyDescent="0.3">
      <c r="A142" t="s">
        <v>370</v>
      </c>
      <c r="B142">
        <v>653047</v>
      </c>
      <c r="C142" t="s">
        <v>371</v>
      </c>
      <c r="D142">
        <v>594804478063</v>
      </c>
      <c r="E142" t="s">
        <v>64</v>
      </c>
      <c r="F142" t="s">
        <v>146</v>
      </c>
      <c r="G142" t="s">
        <v>147</v>
      </c>
      <c r="H142" t="s">
        <v>70</v>
      </c>
      <c r="I142" t="s">
        <v>53</v>
      </c>
      <c r="J142">
        <v>118445.89</v>
      </c>
      <c r="K142" t="s">
        <v>23</v>
      </c>
      <c r="L142" s="10">
        <v>45791</v>
      </c>
      <c r="M142" t="s">
        <v>24</v>
      </c>
      <c r="N142">
        <v>1940977.35</v>
      </c>
      <c r="O142" t="s">
        <v>179</v>
      </c>
      <c r="P142" s="10">
        <v>45778</v>
      </c>
      <c r="Q142">
        <v>118445.89</v>
      </c>
      <c r="R142">
        <v>1</v>
      </c>
      <c r="S142" t="s">
        <v>1097</v>
      </c>
      <c r="T142" t="s">
        <v>1095</v>
      </c>
    </row>
    <row r="143" spans="1:20" x14ac:dyDescent="0.3">
      <c r="A143" t="s">
        <v>372</v>
      </c>
      <c r="B143">
        <v>866889</v>
      </c>
      <c r="C143" t="s">
        <v>373</v>
      </c>
      <c r="D143">
        <v>200258397818</v>
      </c>
      <c r="E143" t="s">
        <v>28</v>
      </c>
      <c r="F143" t="s">
        <v>192</v>
      </c>
      <c r="G143" t="s">
        <v>193</v>
      </c>
      <c r="H143" t="s">
        <v>31</v>
      </c>
      <c r="I143" t="s">
        <v>22</v>
      </c>
      <c r="J143">
        <v>538363.37</v>
      </c>
      <c r="K143" t="s">
        <v>32</v>
      </c>
      <c r="L143" s="10">
        <v>45238</v>
      </c>
      <c r="M143" t="s">
        <v>24</v>
      </c>
      <c r="N143">
        <v>1370478.57</v>
      </c>
      <c r="O143" t="s">
        <v>25</v>
      </c>
      <c r="P143" s="10">
        <v>45231</v>
      </c>
      <c r="Q143">
        <v>538363.37</v>
      </c>
      <c r="R143">
        <v>0</v>
      </c>
      <c r="S143" t="s">
        <v>1098</v>
      </c>
      <c r="T143" t="s">
        <v>1095</v>
      </c>
    </row>
    <row r="144" spans="1:20" x14ac:dyDescent="0.3">
      <c r="A144" t="s">
        <v>374</v>
      </c>
      <c r="B144">
        <v>350891</v>
      </c>
      <c r="C144" t="s">
        <v>375</v>
      </c>
      <c r="D144">
        <v>554515895107</v>
      </c>
      <c r="E144" t="s">
        <v>18</v>
      </c>
      <c r="F144" t="s">
        <v>56</v>
      </c>
      <c r="G144" t="s">
        <v>57</v>
      </c>
      <c r="H144" t="s">
        <v>31</v>
      </c>
      <c r="I144" t="s">
        <v>48</v>
      </c>
      <c r="J144">
        <v>115989.38</v>
      </c>
      <c r="K144" t="s">
        <v>23</v>
      </c>
      <c r="L144" s="10">
        <v>45691</v>
      </c>
      <c r="M144" t="s">
        <v>24</v>
      </c>
      <c r="N144">
        <v>998213.89</v>
      </c>
      <c r="O144" t="s">
        <v>25</v>
      </c>
      <c r="P144" s="10">
        <v>45689</v>
      </c>
      <c r="Q144">
        <v>115989.38</v>
      </c>
      <c r="R144">
        <v>0</v>
      </c>
      <c r="S144" t="s">
        <v>1097</v>
      </c>
      <c r="T144" t="s">
        <v>1095</v>
      </c>
    </row>
    <row r="145" spans="1:20" x14ac:dyDescent="0.3">
      <c r="A145" t="s">
        <v>376</v>
      </c>
      <c r="B145">
        <v>882580</v>
      </c>
      <c r="C145" t="s">
        <v>377</v>
      </c>
      <c r="D145">
        <v>551881289169</v>
      </c>
      <c r="E145" t="s">
        <v>91</v>
      </c>
      <c r="F145" t="s">
        <v>130</v>
      </c>
      <c r="G145" t="s">
        <v>131</v>
      </c>
      <c r="H145" t="s">
        <v>67</v>
      </c>
      <c r="I145" t="s">
        <v>38</v>
      </c>
      <c r="J145">
        <v>118044.41</v>
      </c>
      <c r="K145" t="s">
        <v>32</v>
      </c>
      <c r="L145" s="10">
        <v>45727</v>
      </c>
      <c r="M145" t="s">
        <v>24</v>
      </c>
      <c r="N145">
        <v>866095.88</v>
      </c>
      <c r="O145" t="s">
        <v>25</v>
      </c>
      <c r="P145" s="10">
        <v>45717</v>
      </c>
      <c r="Q145">
        <v>-118044.41</v>
      </c>
      <c r="R145">
        <v>0</v>
      </c>
      <c r="S145" t="s">
        <v>1098</v>
      </c>
      <c r="T145" t="s">
        <v>1095</v>
      </c>
    </row>
    <row r="146" spans="1:20" x14ac:dyDescent="0.3">
      <c r="A146" t="s">
        <v>378</v>
      </c>
      <c r="B146">
        <v>658908</v>
      </c>
      <c r="C146" t="s">
        <v>379</v>
      </c>
      <c r="D146">
        <v>432189750305</v>
      </c>
      <c r="E146" t="s">
        <v>18</v>
      </c>
      <c r="F146" t="s">
        <v>156</v>
      </c>
      <c r="G146" t="s">
        <v>157</v>
      </c>
      <c r="H146" t="s">
        <v>21</v>
      </c>
      <c r="I146" t="s">
        <v>48</v>
      </c>
      <c r="J146">
        <v>75762.73</v>
      </c>
      <c r="K146" t="s">
        <v>98</v>
      </c>
      <c r="L146" s="10">
        <v>45671</v>
      </c>
      <c r="M146" t="s">
        <v>24</v>
      </c>
      <c r="N146">
        <v>646653.53</v>
      </c>
      <c r="O146" t="s">
        <v>25</v>
      </c>
      <c r="P146" s="10">
        <v>45658</v>
      </c>
      <c r="Q146">
        <v>75762.73</v>
      </c>
      <c r="R146">
        <v>0</v>
      </c>
      <c r="S146" t="s">
        <v>1098</v>
      </c>
      <c r="T146" t="s">
        <v>1095</v>
      </c>
    </row>
    <row r="147" spans="1:20" x14ac:dyDescent="0.3">
      <c r="A147" t="s">
        <v>380</v>
      </c>
      <c r="B147">
        <v>995453</v>
      </c>
      <c r="C147" t="s">
        <v>381</v>
      </c>
      <c r="D147">
        <v>548282814998</v>
      </c>
      <c r="E147" t="s">
        <v>35</v>
      </c>
      <c r="F147" t="s">
        <v>42</v>
      </c>
      <c r="G147" t="s">
        <v>43</v>
      </c>
      <c r="H147" t="s">
        <v>31</v>
      </c>
      <c r="I147" t="s">
        <v>53</v>
      </c>
      <c r="J147">
        <v>469955.81</v>
      </c>
      <c r="K147" t="s">
        <v>23</v>
      </c>
      <c r="L147" s="10">
        <v>45682</v>
      </c>
      <c r="M147" t="s">
        <v>24</v>
      </c>
      <c r="N147">
        <v>2048155.91</v>
      </c>
      <c r="O147" t="s">
        <v>25</v>
      </c>
      <c r="P147" s="10">
        <v>45658</v>
      </c>
      <c r="Q147">
        <v>469955.81</v>
      </c>
      <c r="R147">
        <v>0</v>
      </c>
      <c r="S147" t="s">
        <v>1097</v>
      </c>
      <c r="T147" t="s">
        <v>1095</v>
      </c>
    </row>
    <row r="148" spans="1:20" x14ac:dyDescent="0.3">
      <c r="A148" t="s">
        <v>382</v>
      </c>
      <c r="B148">
        <v>481552</v>
      </c>
      <c r="C148" t="s">
        <v>383</v>
      </c>
      <c r="D148">
        <v>599383994938</v>
      </c>
      <c r="E148" t="s">
        <v>18</v>
      </c>
      <c r="F148" t="s">
        <v>46</v>
      </c>
      <c r="G148" t="s">
        <v>47</v>
      </c>
      <c r="H148" t="s">
        <v>21</v>
      </c>
      <c r="I148" t="s">
        <v>22</v>
      </c>
      <c r="J148">
        <v>147489.57999999999</v>
      </c>
      <c r="K148" t="s">
        <v>39</v>
      </c>
      <c r="L148" s="10">
        <v>45122</v>
      </c>
      <c r="M148" t="s">
        <v>24</v>
      </c>
      <c r="N148">
        <v>1667932.38</v>
      </c>
      <c r="O148" t="s">
        <v>25</v>
      </c>
      <c r="P148" s="10">
        <v>45108</v>
      </c>
      <c r="Q148">
        <v>147489.57999999999</v>
      </c>
      <c r="R148">
        <v>0</v>
      </c>
      <c r="S148" t="s">
        <v>1098</v>
      </c>
      <c r="T148" t="s">
        <v>1095</v>
      </c>
    </row>
    <row r="149" spans="1:20" x14ac:dyDescent="0.3">
      <c r="A149" t="s">
        <v>384</v>
      </c>
      <c r="B149">
        <v>946300</v>
      </c>
      <c r="C149" t="s">
        <v>385</v>
      </c>
      <c r="D149">
        <v>118420256517</v>
      </c>
      <c r="E149" t="s">
        <v>18</v>
      </c>
      <c r="F149" t="s">
        <v>87</v>
      </c>
      <c r="G149" t="s">
        <v>88</v>
      </c>
      <c r="H149" t="s">
        <v>67</v>
      </c>
      <c r="I149" t="s">
        <v>38</v>
      </c>
      <c r="J149">
        <v>133972.62</v>
      </c>
      <c r="K149" t="s">
        <v>98</v>
      </c>
      <c r="L149" s="10">
        <v>45679</v>
      </c>
      <c r="M149" t="s">
        <v>24</v>
      </c>
      <c r="N149">
        <v>412865.25</v>
      </c>
      <c r="O149" t="s">
        <v>25</v>
      </c>
      <c r="P149" s="10">
        <v>45658</v>
      </c>
      <c r="Q149">
        <v>-133972.62</v>
      </c>
      <c r="R149">
        <v>0</v>
      </c>
      <c r="S149" t="s">
        <v>1098</v>
      </c>
      <c r="T149" t="s">
        <v>1095</v>
      </c>
    </row>
    <row r="150" spans="1:20" x14ac:dyDescent="0.3">
      <c r="A150" t="s">
        <v>386</v>
      </c>
      <c r="B150">
        <v>358049</v>
      </c>
      <c r="C150" t="s">
        <v>387</v>
      </c>
      <c r="D150">
        <v>499277122705</v>
      </c>
      <c r="E150" t="s">
        <v>35</v>
      </c>
      <c r="F150" t="s">
        <v>36</v>
      </c>
      <c r="G150" t="s">
        <v>37</v>
      </c>
      <c r="H150" t="s">
        <v>31</v>
      </c>
      <c r="I150" t="s">
        <v>53</v>
      </c>
      <c r="J150">
        <v>406154.8</v>
      </c>
      <c r="K150" t="s">
        <v>49</v>
      </c>
      <c r="L150" s="10">
        <v>45466</v>
      </c>
      <c r="M150" t="s">
        <v>24</v>
      </c>
      <c r="N150">
        <v>2345208.34</v>
      </c>
      <c r="O150" t="s">
        <v>25</v>
      </c>
      <c r="P150" s="10">
        <v>45444</v>
      </c>
      <c r="Q150">
        <v>406154.8</v>
      </c>
      <c r="R150">
        <v>0</v>
      </c>
      <c r="S150" t="s">
        <v>1098</v>
      </c>
      <c r="T150" t="s">
        <v>1095</v>
      </c>
    </row>
    <row r="151" spans="1:20" x14ac:dyDescent="0.3">
      <c r="A151" t="s">
        <v>388</v>
      </c>
      <c r="B151">
        <v>579752</v>
      </c>
      <c r="C151" t="s">
        <v>389</v>
      </c>
      <c r="D151">
        <v>185223890909</v>
      </c>
      <c r="E151" t="s">
        <v>35</v>
      </c>
      <c r="F151" t="s">
        <v>73</v>
      </c>
      <c r="G151" t="s">
        <v>74</v>
      </c>
      <c r="H151" t="s">
        <v>70</v>
      </c>
      <c r="I151" t="s">
        <v>53</v>
      </c>
      <c r="J151">
        <v>92892.9</v>
      </c>
      <c r="K151" t="s">
        <v>32</v>
      </c>
      <c r="L151" s="10">
        <v>45153</v>
      </c>
      <c r="M151" t="s">
        <v>24</v>
      </c>
      <c r="N151">
        <v>164830.29999999999</v>
      </c>
      <c r="O151" t="s">
        <v>25</v>
      </c>
      <c r="P151" s="10">
        <v>45139</v>
      </c>
      <c r="Q151">
        <v>92892.9</v>
      </c>
      <c r="R151">
        <v>0</v>
      </c>
      <c r="S151" t="s">
        <v>1098</v>
      </c>
      <c r="T151" t="s">
        <v>1095</v>
      </c>
    </row>
    <row r="152" spans="1:20" x14ac:dyDescent="0.3">
      <c r="A152" t="s">
        <v>390</v>
      </c>
      <c r="B152">
        <v>982731</v>
      </c>
      <c r="C152" t="s">
        <v>391</v>
      </c>
      <c r="D152">
        <v>126451823883</v>
      </c>
      <c r="E152" t="s">
        <v>64</v>
      </c>
      <c r="F152" t="s">
        <v>65</v>
      </c>
      <c r="G152" t="s">
        <v>66</v>
      </c>
      <c r="H152" t="s">
        <v>31</v>
      </c>
      <c r="I152" t="s">
        <v>53</v>
      </c>
      <c r="J152">
        <v>193006.63</v>
      </c>
      <c r="K152" t="s">
        <v>32</v>
      </c>
      <c r="L152" s="10">
        <v>45192</v>
      </c>
      <c r="M152" t="s">
        <v>24</v>
      </c>
      <c r="N152">
        <v>670537.15</v>
      </c>
      <c r="O152" t="s">
        <v>25</v>
      </c>
      <c r="P152" s="10">
        <v>45170</v>
      </c>
      <c r="Q152">
        <v>193006.63</v>
      </c>
      <c r="R152">
        <v>0</v>
      </c>
      <c r="S152" t="s">
        <v>1098</v>
      </c>
      <c r="T152" t="s">
        <v>1095</v>
      </c>
    </row>
    <row r="153" spans="1:20" x14ac:dyDescent="0.3">
      <c r="A153" t="s">
        <v>392</v>
      </c>
      <c r="B153">
        <v>695378</v>
      </c>
      <c r="C153" t="s">
        <v>393</v>
      </c>
      <c r="D153">
        <v>464662276260</v>
      </c>
      <c r="E153" t="s">
        <v>91</v>
      </c>
      <c r="F153" t="s">
        <v>109</v>
      </c>
      <c r="G153" t="s">
        <v>110</v>
      </c>
      <c r="H153" t="s">
        <v>70</v>
      </c>
      <c r="I153" t="s">
        <v>22</v>
      </c>
      <c r="J153">
        <v>160451.89000000001</v>
      </c>
      <c r="K153" t="s">
        <v>32</v>
      </c>
      <c r="L153" s="10">
        <v>45735</v>
      </c>
      <c r="M153" t="s">
        <v>24</v>
      </c>
      <c r="N153">
        <v>310616.62</v>
      </c>
      <c r="O153" t="s">
        <v>25</v>
      </c>
      <c r="P153" s="10">
        <v>45717</v>
      </c>
      <c r="Q153">
        <v>160451.89000000001</v>
      </c>
      <c r="R153">
        <v>0</v>
      </c>
      <c r="S153" t="s">
        <v>1098</v>
      </c>
      <c r="T153" t="s">
        <v>1095</v>
      </c>
    </row>
    <row r="154" spans="1:20" x14ac:dyDescent="0.3">
      <c r="A154" t="s">
        <v>394</v>
      </c>
      <c r="B154">
        <v>749260</v>
      </c>
      <c r="C154" t="s">
        <v>395</v>
      </c>
      <c r="D154">
        <v>924783774270</v>
      </c>
      <c r="E154" t="s">
        <v>64</v>
      </c>
      <c r="F154" t="s">
        <v>166</v>
      </c>
      <c r="G154" t="s">
        <v>167</v>
      </c>
      <c r="H154" t="s">
        <v>70</v>
      </c>
      <c r="I154" t="s">
        <v>48</v>
      </c>
      <c r="J154">
        <v>277196.03000000003</v>
      </c>
      <c r="K154" t="s">
        <v>32</v>
      </c>
      <c r="L154" s="10">
        <v>45430</v>
      </c>
      <c r="M154" t="s">
        <v>168</v>
      </c>
      <c r="N154">
        <v>707859.62000000011</v>
      </c>
      <c r="O154" t="s">
        <v>25</v>
      </c>
      <c r="P154" s="10">
        <v>45413</v>
      </c>
      <c r="Q154">
        <v>277196.03000000003</v>
      </c>
      <c r="R154">
        <v>0</v>
      </c>
      <c r="S154" t="s">
        <v>1098</v>
      </c>
      <c r="T154" t="s">
        <v>1095</v>
      </c>
    </row>
    <row r="155" spans="1:20" x14ac:dyDescent="0.3">
      <c r="A155" t="s">
        <v>396</v>
      </c>
      <c r="B155">
        <v>957981</v>
      </c>
      <c r="C155" t="s">
        <v>397</v>
      </c>
      <c r="D155">
        <v>855946759203</v>
      </c>
      <c r="E155" t="s">
        <v>64</v>
      </c>
      <c r="F155" t="s">
        <v>146</v>
      </c>
      <c r="G155" t="s">
        <v>147</v>
      </c>
      <c r="H155" t="s">
        <v>21</v>
      </c>
      <c r="I155" t="s">
        <v>53</v>
      </c>
      <c r="J155">
        <v>69841.899999999994</v>
      </c>
      <c r="K155" t="s">
        <v>49</v>
      </c>
      <c r="L155" s="10">
        <v>45632</v>
      </c>
      <c r="M155" t="s">
        <v>24</v>
      </c>
      <c r="N155">
        <v>891749.57000000007</v>
      </c>
      <c r="O155" t="s">
        <v>25</v>
      </c>
      <c r="P155" s="10">
        <v>45627</v>
      </c>
      <c r="Q155">
        <v>69841.899999999994</v>
      </c>
      <c r="R155">
        <v>0</v>
      </c>
      <c r="S155" t="s">
        <v>1098</v>
      </c>
      <c r="T155" t="s">
        <v>1095</v>
      </c>
    </row>
    <row r="156" spans="1:20" x14ac:dyDescent="0.3">
      <c r="A156" t="s">
        <v>398</v>
      </c>
      <c r="B156">
        <v>893415</v>
      </c>
      <c r="C156" t="s">
        <v>399</v>
      </c>
      <c r="D156">
        <v>956396989936</v>
      </c>
      <c r="E156" t="s">
        <v>28</v>
      </c>
      <c r="F156" t="s">
        <v>29</v>
      </c>
      <c r="G156" t="s">
        <v>30</v>
      </c>
      <c r="H156" t="s">
        <v>70</v>
      </c>
      <c r="I156" t="s">
        <v>22</v>
      </c>
      <c r="J156">
        <v>267487.64</v>
      </c>
      <c r="K156" t="s">
        <v>32</v>
      </c>
      <c r="L156" s="10">
        <v>45677</v>
      </c>
      <c r="M156" t="s">
        <v>24</v>
      </c>
      <c r="N156">
        <v>2062972.87</v>
      </c>
      <c r="O156" t="s">
        <v>25</v>
      </c>
      <c r="P156" s="10">
        <v>45658</v>
      </c>
      <c r="Q156">
        <v>267487.64</v>
      </c>
      <c r="R156">
        <v>0</v>
      </c>
      <c r="S156" t="s">
        <v>1098</v>
      </c>
      <c r="T156" t="s">
        <v>1095</v>
      </c>
    </row>
    <row r="157" spans="1:20" x14ac:dyDescent="0.3">
      <c r="A157" t="s">
        <v>400</v>
      </c>
      <c r="B157">
        <v>270470</v>
      </c>
      <c r="C157" t="s">
        <v>401</v>
      </c>
      <c r="D157">
        <v>194148450617</v>
      </c>
      <c r="E157" t="s">
        <v>18</v>
      </c>
      <c r="F157" t="s">
        <v>87</v>
      </c>
      <c r="G157" t="s">
        <v>88</v>
      </c>
      <c r="H157" t="s">
        <v>31</v>
      </c>
      <c r="I157" t="s">
        <v>53</v>
      </c>
      <c r="J157">
        <v>70696.570000000007</v>
      </c>
      <c r="K157" t="s">
        <v>32</v>
      </c>
      <c r="L157" s="10">
        <v>45595</v>
      </c>
      <c r="M157" t="s">
        <v>24</v>
      </c>
      <c r="N157">
        <v>102989.25</v>
      </c>
      <c r="O157" t="s">
        <v>25</v>
      </c>
      <c r="P157" s="10">
        <v>45566</v>
      </c>
      <c r="Q157">
        <v>70696.570000000007</v>
      </c>
      <c r="R157">
        <v>0</v>
      </c>
      <c r="S157" t="s">
        <v>1098</v>
      </c>
      <c r="T157" t="s">
        <v>1095</v>
      </c>
    </row>
    <row r="158" spans="1:20" x14ac:dyDescent="0.3">
      <c r="A158" t="s">
        <v>402</v>
      </c>
      <c r="B158">
        <v>775874</v>
      </c>
      <c r="C158" t="s">
        <v>403</v>
      </c>
      <c r="D158">
        <v>113624287115</v>
      </c>
      <c r="E158" t="s">
        <v>28</v>
      </c>
      <c r="F158" t="s">
        <v>150</v>
      </c>
      <c r="G158" t="s">
        <v>151</v>
      </c>
      <c r="H158" t="s">
        <v>21</v>
      </c>
      <c r="I158" t="s">
        <v>38</v>
      </c>
      <c r="J158">
        <v>111768.05</v>
      </c>
      <c r="K158" t="s">
        <v>32</v>
      </c>
      <c r="L158" s="10">
        <v>45761</v>
      </c>
      <c r="M158" t="s">
        <v>24</v>
      </c>
      <c r="N158">
        <v>1778008.15</v>
      </c>
      <c r="O158" t="s">
        <v>25</v>
      </c>
      <c r="P158" s="10">
        <v>45748</v>
      </c>
      <c r="Q158">
        <v>-111768.05</v>
      </c>
      <c r="R158">
        <v>0</v>
      </c>
      <c r="S158" t="s">
        <v>1098</v>
      </c>
      <c r="T158" t="s">
        <v>1095</v>
      </c>
    </row>
    <row r="159" spans="1:20" x14ac:dyDescent="0.3">
      <c r="A159" t="s">
        <v>404</v>
      </c>
      <c r="B159">
        <v>264651</v>
      </c>
      <c r="C159" t="s">
        <v>405</v>
      </c>
      <c r="D159">
        <v>687564757084</v>
      </c>
      <c r="E159" t="s">
        <v>64</v>
      </c>
      <c r="F159" t="s">
        <v>65</v>
      </c>
      <c r="G159" t="s">
        <v>66</v>
      </c>
      <c r="H159" t="s">
        <v>67</v>
      </c>
      <c r="I159" t="s">
        <v>48</v>
      </c>
      <c r="J159">
        <v>185535.98</v>
      </c>
      <c r="K159" t="s">
        <v>49</v>
      </c>
      <c r="L159" s="10">
        <v>45734</v>
      </c>
      <c r="M159" t="s">
        <v>24</v>
      </c>
      <c r="N159">
        <v>594950.13</v>
      </c>
      <c r="O159" t="s">
        <v>25</v>
      </c>
      <c r="P159" s="10">
        <v>45717</v>
      </c>
      <c r="Q159">
        <v>185535.98</v>
      </c>
      <c r="R159">
        <v>0</v>
      </c>
      <c r="S159" t="s">
        <v>1098</v>
      </c>
      <c r="T159" t="s">
        <v>1095</v>
      </c>
    </row>
    <row r="160" spans="1:20" x14ac:dyDescent="0.3">
      <c r="A160" t="s">
        <v>406</v>
      </c>
      <c r="B160">
        <v>464154</v>
      </c>
      <c r="C160" t="s">
        <v>407</v>
      </c>
      <c r="D160">
        <v>219059604533</v>
      </c>
      <c r="E160" t="s">
        <v>64</v>
      </c>
      <c r="F160" t="s">
        <v>177</v>
      </c>
      <c r="G160" t="s">
        <v>178</v>
      </c>
      <c r="H160" t="s">
        <v>31</v>
      </c>
      <c r="I160" t="s">
        <v>22</v>
      </c>
      <c r="J160">
        <v>443617.87</v>
      </c>
      <c r="K160" t="s">
        <v>49</v>
      </c>
      <c r="L160" s="10">
        <v>45567</v>
      </c>
      <c r="M160" t="s">
        <v>24</v>
      </c>
      <c r="N160">
        <v>797962.84</v>
      </c>
      <c r="O160" t="s">
        <v>25</v>
      </c>
      <c r="P160" s="10">
        <v>45566</v>
      </c>
      <c r="Q160">
        <v>443617.87</v>
      </c>
      <c r="R160">
        <v>0</v>
      </c>
      <c r="S160" t="s">
        <v>1098</v>
      </c>
      <c r="T160" t="s">
        <v>1095</v>
      </c>
    </row>
    <row r="161" spans="1:20" x14ac:dyDescent="0.3">
      <c r="A161" t="s">
        <v>408</v>
      </c>
      <c r="B161">
        <v>146344</v>
      </c>
      <c r="C161" t="s">
        <v>409</v>
      </c>
      <c r="D161">
        <v>802060333395</v>
      </c>
      <c r="E161" t="s">
        <v>28</v>
      </c>
      <c r="F161" t="s">
        <v>192</v>
      </c>
      <c r="G161" t="s">
        <v>193</v>
      </c>
      <c r="H161" t="s">
        <v>21</v>
      </c>
      <c r="I161" t="s">
        <v>53</v>
      </c>
      <c r="J161">
        <v>21505.02</v>
      </c>
      <c r="K161" t="s">
        <v>98</v>
      </c>
      <c r="L161" s="10">
        <v>45171</v>
      </c>
      <c r="M161" t="s">
        <v>24</v>
      </c>
      <c r="N161">
        <v>1932874.96</v>
      </c>
      <c r="O161" t="s">
        <v>25</v>
      </c>
      <c r="P161" s="10">
        <v>45170</v>
      </c>
      <c r="Q161">
        <v>21505.02</v>
      </c>
      <c r="R161">
        <v>0</v>
      </c>
      <c r="S161" t="s">
        <v>1098</v>
      </c>
      <c r="T161" t="s">
        <v>1095</v>
      </c>
    </row>
    <row r="162" spans="1:20" x14ac:dyDescent="0.3">
      <c r="A162" t="s">
        <v>410</v>
      </c>
      <c r="B162">
        <v>575179</v>
      </c>
      <c r="C162" t="s">
        <v>411</v>
      </c>
      <c r="D162">
        <v>950574724598</v>
      </c>
      <c r="E162" t="s">
        <v>18</v>
      </c>
      <c r="F162" t="s">
        <v>46</v>
      </c>
      <c r="G162" t="s">
        <v>47</v>
      </c>
      <c r="H162" t="s">
        <v>67</v>
      </c>
      <c r="I162" t="s">
        <v>48</v>
      </c>
      <c r="J162">
        <v>41041.120000000003</v>
      </c>
      <c r="K162" t="s">
        <v>23</v>
      </c>
      <c r="L162" s="10">
        <v>45794</v>
      </c>
      <c r="M162" t="s">
        <v>24</v>
      </c>
      <c r="N162">
        <v>137008.63</v>
      </c>
      <c r="O162" t="s">
        <v>25</v>
      </c>
      <c r="P162" s="10">
        <v>45778</v>
      </c>
      <c r="Q162">
        <v>41041.120000000003</v>
      </c>
      <c r="R162">
        <v>0</v>
      </c>
      <c r="S162" t="s">
        <v>1097</v>
      </c>
      <c r="T162" t="s">
        <v>1095</v>
      </c>
    </row>
    <row r="163" spans="1:20" x14ac:dyDescent="0.3">
      <c r="A163" t="s">
        <v>412</v>
      </c>
      <c r="B163">
        <v>721340</v>
      </c>
      <c r="C163" t="s">
        <v>413</v>
      </c>
      <c r="D163">
        <v>555966315099</v>
      </c>
      <c r="E163" t="s">
        <v>18</v>
      </c>
      <c r="F163" t="s">
        <v>56</v>
      </c>
      <c r="G163" t="s">
        <v>57</v>
      </c>
      <c r="H163" t="s">
        <v>31</v>
      </c>
      <c r="I163" t="s">
        <v>38</v>
      </c>
      <c r="J163">
        <v>127514.79</v>
      </c>
      <c r="K163" t="s">
        <v>98</v>
      </c>
      <c r="L163" s="10">
        <v>45275</v>
      </c>
      <c r="M163" t="s">
        <v>113</v>
      </c>
      <c r="N163">
        <v>970456.09999999986</v>
      </c>
      <c r="O163" t="s">
        <v>25</v>
      </c>
      <c r="P163" s="10">
        <v>45261</v>
      </c>
      <c r="Q163">
        <v>-127514.79</v>
      </c>
      <c r="R163">
        <v>0</v>
      </c>
      <c r="S163" t="s">
        <v>1098</v>
      </c>
      <c r="T163" t="s">
        <v>1095</v>
      </c>
    </row>
    <row r="164" spans="1:20" x14ac:dyDescent="0.3">
      <c r="A164" t="s">
        <v>414</v>
      </c>
      <c r="B164">
        <v>978283</v>
      </c>
      <c r="C164" t="s">
        <v>415</v>
      </c>
      <c r="D164">
        <v>686925039970</v>
      </c>
      <c r="E164" t="s">
        <v>35</v>
      </c>
      <c r="F164" t="s">
        <v>36</v>
      </c>
      <c r="G164" t="s">
        <v>37</v>
      </c>
      <c r="H164" t="s">
        <v>31</v>
      </c>
      <c r="I164" t="s">
        <v>48</v>
      </c>
      <c r="J164">
        <v>46440.959999999999</v>
      </c>
      <c r="K164" t="s">
        <v>49</v>
      </c>
      <c r="L164" s="10">
        <v>45472</v>
      </c>
      <c r="M164" t="s">
        <v>24</v>
      </c>
      <c r="N164">
        <v>1302694.5</v>
      </c>
      <c r="O164" t="s">
        <v>25</v>
      </c>
      <c r="P164" s="10">
        <v>45444</v>
      </c>
      <c r="Q164">
        <v>46440.959999999999</v>
      </c>
      <c r="R164">
        <v>0</v>
      </c>
      <c r="S164" t="s">
        <v>1098</v>
      </c>
      <c r="T164" t="s">
        <v>1095</v>
      </c>
    </row>
    <row r="165" spans="1:20" x14ac:dyDescent="0.3">
      <c r="A165" t="s">
        <v>416</v>
      </c>
      <c r="B165">
        <v>308373</v>
      </c>
      <c r="C165" t="s">
        <v>417</v>
      </c>
      <c r="D165">
        <v>850820030043</v>
      </c>
      <c r="E165" t="s">
        <v>28</v>
      </c>
      <c r="F165" t="s">
        <v>29</v>
      </c>
      <c r="G165" t="s">
        <v>30</v>
      </c>
      <c r="H165" t="s">
        <v>67</v>
      </c>
      <c r="I165" t="s">
        <v>22</v>
      </c>
      <c r="J165">
        <v>81438.09</v>
      </c>
      <c r="K165" t="s">
        <v>49</v>
      </c>
      <c r="L165" s="10">
        <v>45742</v>
      </c>
      <c r="M165" t="s">
        <v>24</v>
      </c>
      <c r="N165">
        <v>303737.78000000003</v>
      </c>
      <c r="O165" t="s">
        <v>25</v>
      </c>
      <c r="P165" s="10">
        <v>45717</v>
      </c>
      <c r="Q165">
        <v>81438.09</v>
      </c>
      <c r="R165">
        <v>0</v>
      </c>
      <c r="S165" t="s">
        <v>1098</v>
      </c>
      <c r="T165" t="s">
        <v>1095</v>
      </c>
    </row>
    <row r="166" spans="1:20" x14ac:dyDescent="0.3">
      <c r="A166" t="s">
        <v>418</v>
      </c>
      <c r="B166">
        <v>382042</v>
      </c>
      <c r="C166" t="s">
        <v>419</v>
      </c>
      <c r="D166">
        <v>672793088296</v>
      </c>
      <c r="E166" t="s">
        <v>28</v>
      </c>
      <c r="F166" t="s">
        <v>29</v>
      </c>
      <c r="G166" t="s">
        <v>30</v>
      </c>
      <c r="H166" t="s">
        <v>21</v>
      </c>
      <c r="I166" t="s">
        <v>38</v>
      </c>
      <c r="J166">
        <v>24609.7</v>
      </c>
      <c r="K166" t="s">
        <v>39</v>
      </c>
      <c r="L166" s="10">
        <v>45525</v>
      </c>
      <c r="M166" t="s">
        <v>24</v>
      </c>
      <c r="N166">
        <v>464560.08</v>
      </c>
      <c r="O166" t="s">
        <v>25</v>
      </c>
      <c r="P166" s="10">
        <v>45505</v>
      </c>
      <c r="Q166">
        <v>-24609.7</v>
      </c>
      <c r="R166">
        <v>0</v>
      </c>
      <c r="S166" t="s">
        <v>1098</v>
      </c>
      <c r="T166" t="s">
        <v>1095</v>
      </c>
    </row>
    <row r="167" spans="1:20" x14ac:dyDescent="0.3">
      <c r="A167" t="s">
        <v>420</v>
      </c>
      <c r="B167">
        <v>841087</v>
      </c>
      <c r="C167" t="s">
        <v>421</v>
      </c>
      <c r="D167">
        <v>340321947570</v>
      </c>
      <c r="E167" t="s">
        <v>64</v>
      </c>
      <c r="F167" t="s">
        <v>146</v>
      </c>
      <c r="G167" t="s">
        <v>147</v>
      </c>
      <c r="H167" t="s">
        <v>67</v>
      </c>
      <c r="I167" t="s">
        <v>38</v>
      </c>
      <c r="J167">
        <v>80691.649999999994</v>
      </c>
      <c r="K167" t="s">
        <v>32</v>
      </c>
      <c r="L167" s="10">
        <v>45621</v>
      </c>
      <c r="M167" t="s">
        <v>24</v>
      </c>
      <c r="N167">
        <v>1504466.62</v>
      </c>
      <c r="O167" t="s">
        <v>25</v>
      </c>
      <c r="P167" s="10">
        <v>45597</v>
      </c>
      <c r="Q167">
        <v>-80691.649999999994</v>
      </c>
      <c r="R167">
        <v>0</v>
      </c>
      <c r="S167" t="s">
        <v>1098</v>
      </c>
      <c r="T167" t="s">
        <v>1095</v>
      </c>
    </row>
    <row r="168" spans="1:20" x14ac:dyDescent="0.3">
      <c r="A168" t="s">
        <v>422</v>
      </c>
      <c r="B168">
        <v>453621</v>
      </c>
      <c r="C168" t="s">
        <v>423</v>
      </c>
      <c r="D168">
        <v>572275455942</v>
      </c>
      <c r="E168" t="s">
        <v>18</v>
      </c>
      <c r="F168" t="s">
        <v>46</v>
      </c>
      <c r="G168" t="s">
        <v>47</v>
      </c>
      <c r="H168" t="s">
        <v>70</v>
      </c>
      <c r="I168" t="s">
        <v>38</v>
      </c>
      <c r="J168">
        <v>86333.22</v>
      </c>
      <c r="K168" t="s">
        <v>49</v>
      </c>
      <c r="L168" s="10">
        <v>45833</v>
      </c>
      <c r="M168" t="s">
        <v>24</v>
      </c>
      <c r="N168">
        <v>173826.27</v>
      </c>
      <c r="O168" t="s">
        <v>25</v>
      </c>
      <c r="P168" s="10">
        <v>45809</v>
      </c>
      <c r="Q168">
        <v>-86333.22</v>
      </c>
      <c r="R168">
        <v>0</v>
      </c>
      <c r="S168" t="s">
        <v>1098</v>
      </c>
      <c r="T168" t="s">
        <v>1095</v>
      </c>
    </row>
    <row r="169" spans="1:20" x14ac:dyDescent="0.3">
      <c r="A169" t="s">
        <v>424</v>
      </c>
      <c r="B169">
        <v>194555</v>
      </c>
      <c r="C169" t="s">
        <v>425</v>
      </c>
      <c r="D169">
        <v>623222273192</v>
      </c>
      <c r="E169" t="s">
        <v>18</v>
      </c>
      <c r="F169" t="s">
        <v>19</v>
      </c>
      <c r="G169" t="s">
        <v>20</v>
      </c>
      <c r="H169" t="s">
        <v>70</v>
      </c>
      <c r="I169" t="s">
        <v>48</v>
      </c>
      <c r="J169">
        <v>121786.38</v>
      </c>
      <c r="K169" t="s">
        <v>98</v>
      </c>
      <c r="L169" s="10">
        <v>45423</v>
      </c>
      <c r="M169" t="s">
        <v>50</v>
      </c>
      <c r="N169">
        <v>1986716.88</v>
      </c>
      <c r="O169" t="s">
        <v>25</v>
      </c>
      <c r="P169" s="10">
        <v>45413</v>
      </c>
      <c r="Q169">
        <v>121786.38</v>
      </c>
      <c r="R169">
        <v>0</v>
      </c>
      <c r="S169" t="s">
        <v>1098</v>
      </c>
      <c r="T169" t="s">
        <v>1095</v>
      </c>
    </row>
    <row r="170" spans="1:20" x14ac:dyDescent="0.3">
      <c r="A170" t="s">
        <v>426</v>
      </c>
      <c r="B170">
        <v>770075</v>
      </c>
      <c r="C170" t="s">
        <v>427</v>
      </c>
      <c r="D170">
        <v>292949525017</v>
      </c>
      <c r="E170" t="s">
        <v>18</v>
      </c>
      <c r="F170" t="s">
        <v>19</v>
      </c>
      <c r="G170" t="s">
        <v>20</v>
      </c>
      <c r="H170" t="s">
        <v>21</v>
      </c>
      <c r="I170" t="s">
        <v>48</v>
      </c>
      <c r="J170">
        <v>130110.38</v>
      </c>
      <c r="K170" t="s">
        <v>49</v>
      </c>
      <c r="L170" s="10">
        <v>45565</v>
      </c>
      <c r="M170" t="s">
        <v>24</v>
      </c>
      <c r="N170">
        <v>1443432.25</v>
      </c>
      <c r="O170" t="s">
        <v>25</v>
      </c>
      <c r="P170" s="10">
        <v>45536</v>
      </c>
      <c r="Q170">
        <v>130110.38</v>
      </c>
      <c r="R170">
        <v>0</v>
      </c>
      <c r="S170" t="s">
        <v>1098</v>
      </c>
      <c r="T170" t="s">
        <v>1095</v>
      </c>
    </row>
    <row r="171" spans="1:20" x14ac:dyDescent="0.3">
      <c r="A171" t="s">
        <v>428</v>
      </c>
      <c r="B171">
        <v>829378</v>
      </c>
      <c r="C171" t="s">
        <v>429</v>
      </c>
      <c r="D171">
        <v>903370949456</v>
      </c>
      <c r="E171" t="s">
        <v>91</v>
      </c>
      <c r="F171" t="s">
        <v>109</v>
      </c>
      <c r="G171" t="s">
        <v>110</v>
      </c>
      <c r="H171" t="s">
        <v>21</v>
      </c>
      <c r="I171" t="s">
        <v>22</v>
      </c>
      <c r="J171">
        <v>585632.02</v>
      </c>
      <c r="K171" t="s">
        <v>49</v>
      </c>
      <c r="L171" s="10">
        <v>45303</v>
      </c>
      <c r="M171" t="s">
        <v>24</v>
      </c>
      <c r="N171">
        <v>1709477.05</v>
      </c>
      <c r="O171" t="s">
        <v>25</v>
      </c>
      <c r="P171" s="10">
        <v>45292</v>
      </c>
      <c r="Q171">
        <v>585632.02</v>
      </c>
      <c r="R171">
        <v>0</v>
      </c>
      <c r="S171" t="s">
        <v>1098</v>
      </c>
      <c r="T171" t="s">
        <v>1095</v>
      </c>
    </row>
    <row r="172" spans="1:20" x14ac:dyDescent="0.3">
      <c r="A172" t="s">
        <v>430</v>
      </c>
      <c r="B172">
        <v>987879</v>
      </c>
      <c r="C172" t="s">
        <v>431</v>
      </c>
      <c r="D172">
        <v>260587250312</v>
      </c>
      <c r="E172" t="s">
        <v>35</v>
      </c>
      <c r="F172" t="s">
        <v>36</v>
      </c>
      <c r="G172" t="s">
        <v>37</v>
      </c>
      <c r="H172" t="s">
        <v>70</v>
      </c>
      <c r="I172" t="s">
        <v>38</v>
      </c>
      <c r="J172">
        <v>13739.75</v>
      </c>
      <c r="K172" t="s">
        <v>39</v>
      </c>
      <c r="L172" s="10">
        <v>45818</v>
      </c>
      <c r="M172" t="s">
        <v>24</v>
      </c>
      <c r="N172">
        <v>1443259.36</v>
      </c>
      <c r="O172" t="s">
        <v>25</v>
      </c>
      <c r="P172" s="10">
        <v>45809</v>
      </c>
      <c r="Q172">
        <v>-13739.75</v>
      </c>
      <c r="R172">
        <v>0</v>
      </c>
      <c r="S172" t="s">
        <v>1098</v>
      </c>
      <c r="T172" t="s">
        <v>1095</v>
      </c>
    </row>
    <row r="173" spans="1:20" x14ac:dyDescent="0.3">
      <c r="A173" t="s">
        <v>432</v>
      </c>
      <c r="B173">
        <v>232569</v>
      </c>
      <c r="C173" t="s">
        <v>433</v>
      </c>
      <c r="D173">
        <v>977364169001</v>
      </c>
      <c r="E173" t="s">
        <v>18</v>
      </c>
      <c r="F173" t="s">
        <v>19</v>
      </c>
      <c r="G173" t="s">
        <v>20</v>
      </c>
      <c r="H173" t="s">
        <v>21</v>
      </c>
      <c r="I173" t="s">
        <v>53</v>
      </c>
      <c r="J173">
        <v>217678.95</v>
      </c>
      <c r="K173" t="s">
        <v>49</v>
      </c>
      <c r="L173" s="10">
        <v>45278</v>
      </c>
      <c r="M173" t="s">
        <v>24</v>
      </c>
      <c r="N173">
        <v>1325870.71</v>
      </c>
      <c r="O173" t="s">
        <v>25</v>
      </c>
      <c r="P173" s="10">
        <v>45261</v>
      </c>
      <c r="Q173">
        <v>217678.95</v>
      </c>
      <c r="R173">
        <v>0</v>
      </c>
      <c r="S173" t="s">
        <v>1098</v>
      </c>
      <c r="T173" t="s">
        <v>1095</v>
      </c>
    </row>
    <row r="174" spans="1:20" x14ac:dyDescent="0.3">
      <c r="A174" t="s">
        <v>434</v>
      </c>
      <c r="B174">
        <v>287130</v>
      </c>
      <c r="C174" t="s">
        <v>435</v>
      </c>
      <c r="D174">
        <v>390913928721</v>
      </c>
      <c r="E174" t="s">
        <v>18</v>
      </c>
      <c r="F174" t="s">
        <v>87</v>
      </c>
      <c r="G174" t="s">
        <v>88</v>
      </c>
      <c r="H174" t="s">
        <v>31</v>
      </c>
      <c r="I174" t="s">
        <v>48</v>
      </c>
      <c r="J174">
        <v>241267.85</v>
      </c>
      <c r="K174" t="s">
        <v>39</v>
      </c>
      <c r="L174" s="10">
        <v>45302</v>
      </c>
      <c r="M174" t="s">
        <v>24</v>
      </c>
      <c r="N174">
        <v>614510.72</v>
      </c>
      <c r="O174" t="s">
        <v>25</v>
      </c>
      <c r="P174" s="10">
        <v>45292</v>
      </c>
      <c r="Q174">
        <v>241267.85</v>
      </c>
      <c r="R174">
        <v>0</v>
      </c>
      <c r="S174" t="s">
        <v>1098</v>
      </c>
      <c r="T174" t="s">
        <v>1095</v>
      </c>
    </row>
    <row r="175" spans="1:20" x14ac:dyDescent="0.3">
      <c r="A175" t="s">
        <v>436</v>
      </c>
      <c r="B175">
        <v>273869</v>
      </c>
      <c r="C175" t="s">
        <v>437</v>
      </c>
      <c r="D175">
        <v>722703997525</v>
      </c>
      <c r="E175" t="s">
        <v>91</v>
      </c>
      <c r="F175" t="s">
        <v>92</v>
      </c>
      <c r="G175" t="s">
        <v>93</v>
      </c>
      <c r="H175" t="s">
        <v>67</v>
      </c>
      <c r="I175" t="s">
        <v>48</v>
      </c>
      <c r="J175">
        <v>282229.52</v>
      </c>
      <c r="K175" t="s">
        <v>49</v>
      </c>
      <c r="L175" s="10">
        <v>45634</v>
      </c>
      <c r="M175" t="s">
        <v>24</v>
      </c>
      <c r="N175">
        <v>2278673.0299999998</v>
      </c>
      <c r="O175" t="s">
        <v>25</v>
      </c>
      <c r="P175" s="10">
        <v>45627</v>
      </c>
      <c r="Q175">
        <v>282229.52</v>
      </c>
      <c r="R175">
        <v>0</v>
      </c>
      <c r="S175" t="s">
        <v>1098</v>
      </c>
      <c r="T175" t="s">
        <v>1095</v>
      </c>
    </row>
    <row r="176" spans="1:20" x14ac:dyDescent="0.3">
      <c r="A176" t="s">
        <v>438</v>
      </c>
      <c r="B176">
        <v>533366</v>
      </c>
      <c r="C176" t="s">
        <v>439</v>
      </c>
      <c r="D176">
        <v>792282281783</v>
      </c>
      <c r="E176" t="s">
        <v>91</v>
      </c>
      <c r="F176" t="s">
        <v>92</v>
      </c>
      <c r="G176" t="s">
        <v>93</v>
      </c>
      <c r="H176" t="s">
        <v>67</v>
      </c>
      <c r="I176" t="s">
        <v>53</v>
      </c>
      <c r="J176">
        <v>45405.21</v>
      </c>
      <c r="K176" t="s">
        <v>39</v>
      </c>
      <c r="L176" s="10">
        <v>45811</v>
      </c>
      <c r="M176" t="s">
        <v>24</v>
      </c>
      <c r="N176">
        <v>580928.07999999996</v>
      </c>
      <c r="O176" t="s">
        <v>25</v>
      </c>
      <c r="P176" s="10">
        <v>45809</v>
      </c>
      <c r="Q176">
        <v>45405.21</v>
      </c>
      <c r="R176">
        <v>0</v>
      </c>
      <c r="S176" t="s">
        <v>1098</v>
      </c>
      <c r="T176" t="s">
        <v>1095</v>
      </c>
    </row>
    <row r="177" spans="1:20" x14ac:dyDescent="0.3">
      <c r="A177" t="s">
        <v>440</v>
      </c>
      <c r="B177">
        <v>392320</v>
      </c>
      <c r="C177" t="s">
        <v>441</v>
      </c>
      <c r="D177">
        <v>738265413805</v>
      </c>
      <c r="E177" t="s">
        <v>64</v>
      </c>
      <c r="F177" t="s">
        <v>83</v>
      </c>
      <c r="G177" t="s">
        <v>84</v>
      </c>
      <c r="H177" t="s">
        <v>31</v>
      </c>
      <c r="I177" t="s">
        <v>22</v>
      </c>
      <c r="J177">
        <v>212526.68</v>
      </c>
      <c r="K177" t="s">
        <v>23</v>
      </c>
      <c r="L177" s="10">
        <v>45682</v>
      </c>
      <c r="M177" t="s">
        <v>24</v>
      </c>
      <c r="N177">
        <v>602494.71</v>
      </c>
      <c r="O177" t="s">
        <v>25</v>
      </c>
      <c r="P177" s="10">
        <v>45658</v>
      </c>
      <c r="Q177">
        <v>212526.68</v>
      </c>
      <c r="R177">
        <v>0</v>
      </c>
      <c r="S177" t="s">
        <v>1097</v>
      </c>
      <c r="T177" t="s">
        <v>1095</v>
      </c>
    </row>
    <row r="178" spans="1:20" x14ac:dyDescent="0.3">
      <c r="A178" t="s">
        <v>442</v>
      </c>
      <c r="B178">
        <v>489951</v>
      </c>
      <c r="C178" t="s">
        <v>443</v>
      </c>
      <c r="D178">
        <v>660462416947</v>
      </c>
      <c r="E178" t="s">
        <v>35</v>
      </c>
      <c r="F178" t="s">
        <v>136</v>
      </c>
      <c r="G178" t="s">
        <v>137</v>
      </c>
      <c r="H178" t="s">
        <v>67</v>
      </c>
      <c r="I178" t="s">
        <v>53</v>
      </c>
      <c r="J178">
        <v>338467.95</v>
      </c>
      <c r="K178" t="s">
        <v>98</v>
      </c>
      <c r="L178" s="10">
        <v>45665</v>
      </c>
      <c r="M178" t="s">
        <v>24</v>
      </c>
      <c r="N178">
        <v>847748.51</v>
      </c>
      <c r="O178" t="s">
        <v>25</v>
      </c>
      <c r="P178" s="10">
        <v>45658</v>
      </c>
      <c r="Q178">
        <v>338467.95</v>
      </c>
      <c r="R178">
        <v>0</v>
      </c>
      <c r="S178" t="s">
        <v>1098</v>
      </c>
      <c r="T178" t="s">
        <v>1095</v>
      </c>
    </row>
    <row r="179" spans="1:20" x14ac:dyDescent="0.3">
      <c r="A179" t="s">
        <v>444</v>
      </c>
      <c r="B179">
        <v>182090</v>
      </c>
      <c r="C179" t="s">
        <v>445</v>
      </c>
      <c r="D179">
        <v>773349801258</v>
      </c>
      <c r="E179" t="s">
        <v>91</v>
      </c>
      <c r="F179" t="s">
        <v>105</v>
      </c>
      <c r="G179" t="s">
        <v>106</v>
      </c>
      <c r="H179" t="s">
        <v>67</v>
      </c>
      <c r="I179" t="s">
        <v>53</v>
      </c>
      <c r="J179">
        <v>144290.97</v>
      </c>
      <c r="K179" t="s">
        <v>39</v>
      </c>
      <c r="L179" s="10">
        <v>45344</v>
      </c>
      <c r="M179" t="s">
        <v>24</v>
      </c>
      <c r="N179">
        <v>1516905.19</v>
      </c>
      <c r="O179" t="s">
        <v>25</v>
      </c>
      <c r="P179" s="10">
        <v>45323</v>
      </c>
      <c r="Q179">
        <v>144290.97</v>
      </c>
      <c r="R179">
        <v>0</v>
      </c>
      <c r="S179" t="s">
        <v>1098</v>
      </c>
      <c r="T179" t="s">
        <v>1095</v>
      </c>
    </row>
    <row r="180" spans="1:20" x14ac:dyDescent="0.3">
      <c r="A180" t="s">
        <v>446</v>
      </c>
      <c r="B180">
        <v>861891</v>
      </c>
      <c r="C180" t="s">
        <v>447</v>
      </c>
      <c r="D180">
        <v>758276699400</v>
      </c>
      <c r="E180" t="s">
        <v>64</v>
      </c>
      <c r="F180" t="s">
        <v>83</v>
      </c>
      <c r="G180" t="s">
        <v>84</v>
      </c>
      <c r="H180" t="s">
        <v>67</v>
      </c>
      <c r="I180" t="s">
        <v>53</v>
      </c>
      <c r="J180">
        <v>34188.99</v>
      </c>
      <c r="K180" t="s">
        <v>98</v>
      </c>
      <c r="L180" s="10">
        <v>45333</v>
      </c>
      <c r="M180" t="s">
        <v>24</v>
      </c>
      <c r="N180">
        <v>320795.43</v>
      </c>
      <c r="O180" t="s">
        <v>25</v>
      </c>
      <c r="P180" s="10">
        <v>45323</v>
      </c>
      <c r="Q180">
        <v>34188.99</v>
      </c>
      <c r="R180">
        <v>0</v>
      </c>
      <c r="S180" t="s">
        <v>1098</v>
      </c>
      <c r="T180" t="s">
        <v>1095</v>
      </c>
    </row>
    <row r="181" spans="1:20" x14ac:dyDescent="0.3">
      <c r="A181" t="s">
        <v>448</v>
      </c>
      <c r="B181">
        <v>915152</v>
      </c>
      <c r="C181" t="s">
        <v>449</v>
      </c>
      <c r="D181">
        <v>885153418135</v>
      </c>
      <c r="E181" t="s">
        <v>64</v>
      </c>
      <c r="F181" t="s">
        <v>166</v>
      </c>
      <c r="G181" t="s">
        <v>167</v>
      </c>
      <c r="H181" t="s">
        <v>70</v>
      </c>
      <c r="I181" t="s">
        <v>38</v>
      </c>
      <c r="J181">
        <v>82302.03</v>
      </c>
      <c r="K181" t="s">
        <v>32</v>
      </c>
      <c r="L181" s="10">
        <v>45573</v>
      </c>
      <c r="M181" t="s">
        <v>24</v>
      </c>
      <c r="N181">
        <v>1644815.09</v>
      </c>
      <c r="O181" t="s">
        <v>25</v>
      </c>
      <c r="P181" s="10">
        <v>45566</v>
      </c>
      <c r="Q181">
        <v>-82302.03</v>
      </c>
      <c r="R181">
        <v>0</v>
      </c>
      <c r="S181" t="s">
        <v>1098</v>
      </c>
      <c r="T181" t="s">
        <v>1095</v>
      </c>
    </row>
    <row r="182" spans="1:20" x14ac:dyDescent="0.3">
      <c r="A182" t="s">
        <v>450</v>
      </c>
      <c r="B182">
        <v>955248</v>
      </c>
      <c r="C182" t="s">
        <v>451</v>
      </c>
      <c r="D182">
        <v>536354802733</v>
      </c>
      <c r="E182" t="s">
        <v>35</v>
      </c>
      <c r="F182" t="s">
        <v>60</v>
      </c>
      <c r="G182" t="s">
        <v>61</v>
      </c>
      <c r="H182" t="s">
        <v>70</v>
      </c>
      <c r="I182" t="s">
        <v>53</v>
      </c>
      <c r="J182">
        <v>333457.7</v>
      </c>
      <c r="K182" t="s">
        <v>32</v>
      </c>
      <c r="L182" s="10">
        <v>45666</v>
      </c>
      <c r="M182" t="s">
        <v>168</v>
      </c>
      <c r="N182">
        <v>1971539.37</v>
      </c>
      <c r="O182" t="s">
        <v>25</v>
      </c>
      <c r="P182" s="10">
        <v>45658</v>
      </c>
      <c r="Q182">
        <v>333457.7</v>
      </c>
      <c r="R182">
        <v>0</v>
      </c>
      <c r="S182" t="s">
        <v>1098</v>
      </c>
      <c r="T182" t="s">
        <v>1095</v>
      </c>
    </row>
    <row r="183" spans="1:20" x14ac:dyDescent="0.3">
      <c r="A183" t="s">
        <v>452</v>
      </c>
      <c r="B183">
        <v>102739</v>
      </c>
      <c r="C183" t="s">
        <v>453</v>
      </c>
      <c r="D183">
        <v>774104911098</v>
      </c>
      <c r="E183" t="s">
        <v>18</v>
      </c>
      <c r="F183" t="s">
        <v>156</v>
      </c>
      <c r="G183" t="s">
        <v>157</v>
      </c>
      <c r="H183" t="s">
        <v>70</v>
      </c>
      <c r="I183" t="s">
        <v>38</v>
      </c>
      <c r="J183">
        <v>129936.35</v>
      </c>
      <c r="K183" t="s">
        <v>98</v>
      </c>
      <c r="L183" s="10">
        <v>45166</v>
      </c>
      <c r="M183" t="s">
        <v>24</v>
      </c>
      <c r="N183">
        <v>110612.71</v>
      </c>
      <c r="O183" t="s">
        <v>25</v>
      </c>
      <c r="P183" s="10">
        <v>45139</v>
      </c>
      <c r="Q183">
        <v>-129936.35</v>
      </c>
      <c r="R183">
        <v>0</v>
      </c>
      <c r="S183" t="s">
        <v>1098</v>
      </c>
      <c r="T183" t="s">
        <v>1095</v>
      </c>
    </row>
    <row r="184" spans="1:20" x14ac:dyDescent="0.3">
      <c r="A184" t="s">
        <v>454</v>
      </c>
      <c r="B184">
        <v>870440</v>
      </c>
      <c r="C184" t="s">
        <v>455</v>
      </c>
      <c r="D184">
        <v>599441016363</v>
      </c>
      <c r="E184" t="s">
        <v>28</v>
      </c>
      <c r="F184" t="s">
        <v>150</v>
      </c>
      <c r="G184" t="s">
        <v>151</v>
      </c>
      <c r="H184" t="s">
        <v>70</v>
      </c>
      <c r="I184" t="s">
        <v>53</v>
      </c>
      <c r="J184">
        <v>343331.26</v>
      </c>
      <c r="K184" t="s">
        <v>32</v>
      </c>
      <c r="L184" s="10">
        <v>45834</v>
      </c>
      <c r="M184" t="s">
        <v>24</v>
      </c>
      <c r="N184">
        <v>1665408.93</v>
      </c>
      <c r="O184" t="s">
        <v>25</v>
      </c>
      <c r="P184" s="10">
        <v>45809</v>
      </c>
      <c r="Q184">
        <v>343331.26</v>
      </c>
      <c r="R184">
        <v>0</v>
      </c>
      <c r="S184" t="s">
        <v>1098</v>
      </c>
      <c r="T184" t="s">
        <v>1095</v>
      </c>
    </row>
    <row r="185" spans="1:20" x14ac:dyDescent="0.3">
      <c r="A185" t="s">
        <v>456</v>
      </c>
      <c r="B185">
        <v>568609</v>
      </c>
      <c r="C185" t="s">
        <v>457</v>
      </c>
      <c r="D185">
        <v>575512465389</v>
      </c>
      <c r="E185" t="s">
        <v>35</v>
      </c>
      <c r="F185" t="s">
        <v>60</v>
      </c>
      <c r="G185" t="s">
        <v>61</v>
      </c>
      <c r="H185" t="s">
        <v>21</v>
      </c>
      <c r="I185" t="s">
        <v>38</v>
      </c>
      <c r="J185">
        <v>6580.59</v>
      </c>
      <c r="K185" t="s">
        <v>49</v>
      </c>
      <c r="L185" s="10">
        <v>45806</v>
      </c>
      <c r="M185" t="s">
        <v>113</v>
      </c>
      <c r="N185">
        <v>1643987.43</v>
      </c>
      <c r="O185" t="s">
        <v>25</v>
      </c>
      <c r="P185" s="10">
        <v>45778</v>
      </c>
      <c r="Q185">
        <v>-6580.59</v>
      </c>
      <c r="R185">
        <v>0</v>
      </c>
      <c r="S185" t="s">
        <v>1098</v>
      </c>
      <c r="T185" t="s">
        <v>1095</v>
      </c>
    </row>
    <row r="186" spans="1:20" x14ac:dyDescent="0.3">
      <c r="A186" t="s">
        <v>458</v>
      </c>
      <c r="B186">
        <v>365649</v>
      </c>
      <c r="C186" t="s">
        <v>459</v>
      </c>
      <c r="D186">
        <v>709341661530</v>
      </c>
      <c r="E186" t="s">
        <v>64</v>
      </c>
      <c r="F186" t="s">
        <v>177</v>
      </c>
      <c r="G186" t="s">
        <v>178</v>
      </c>
      <c r="H186" t="s">
        <v>21</v>
      </c>
      <c r="I186" t="s">
        <v>53</v>
      </c>
      <c r="J186">
        <v>27356.09</v>
      </c>
      <c r="K186" t="s">
        <v>23</v>
      </c>
      <c r="L186" s="10">
        <v>45509</v>
      </c>
      <c r="M186" t="s">
        <v>24</v>
      </c>
      <c r="N186">
        <v>77396.25</v>
      </c>
      <c r="O186" t="s">
        <v>25</v>
      </c>
      <c r="P186" s="10">
        <v>45505</v>
      </c>
      <c r="Q186">
        <v>27356.09</v>
      </c>
      <c r="R186">
        <v>0</v>
      </c>
      <c r="S186" t="s">
        <v>1097</v>
      </c>
      <c r="T186" t="s">
        <v>1095</v>
      </c>
    </row>
    <row r="187" spans="1:20" x14ac:dyDescent="0.3">
      <c r="A187" t="s">
        <v>460</v>
      </c>
      <c r="B187">
        <v>818603</v>
      </c>
      <c r="C187" t="s">
        <v>461</v>
      </c>
      <c r="D187">
        <v>782215302028</v>
      </c>
      <c r="E187" t="s">
        <v>18</v>
      </c>
      <c r="F187" t="s">
        <v>56</v>
      </c>
      <c r="G187" t="s">
        <v>57</v>
      </c>
      <c r="H187" t="s">
        <v>21</v>
      </c>
      <c r="I187" t="s">
        <v>22</v>
      </c>
      <c r="J187">
        <v>259278.23</v>
      </c>
      <c r="K187" t="s">
        <v>39</v>
      </c>
      <c r="L187" s="10">
        <v>45810</v>
      </c>
      <c r="M187" t="s">
        <v>50</v>
      </c>
      <c r="N187">
        <v>1616440.48</v>
      </c>
      <c r="O187" t="s">
        <v>25</v>
      </c>
      <c r="P187" s="10">
        <v>45809</v>
      </c>
      <c r="Q187">
        <v>259278.23</v>
      </c>
      <c r="R187">
        <v>0</v>
      </c>
      <c r="S187" t="s">
        <v>1098</v>
      </c>
      <c r="T187" t="s">
        <v>1095</v>
      </c>
    </row>
    <row r="188" spans="1:20" x14ac:dyDescent="0.3">
      <c r="A188" t="s">
        <v>462</v>
      </c>
      <c r="B188">
        <v>764919</v>
      </c>
      <c r="C188" t="s">
        <v>463</v>
      </c>
      <c r="D188">
        <v>459712929306</v>
      </c>
      <c r="E188" t="s">
        <v>64</v>
      </c>
      <c r="F188" t="s">
        <v>166</v>
      </c>
      <c r="G188" t="s">
        <v>167</v>
      </c>
      <c r="H188" t="s">
        <v>70</v>
      </c>
      <c r="I188" t="s">
        <v>53</v>
      </c>
      <c r="J188">
        <v>102247.08</v>
      </c>
      <c r="K188" t="s">
        <v>39</v>
      </c>
      <c r="L188" s="10">
        <v>45286</v>
      </c>
      <c r="M188" t="s">
        <v>24</v>
      </c>
      <c r="N188">
        <v>1111261.05</v>
      </c>
      <c r="O188" t="s">
        <v>25</v>
      </c>
      <c r="P188" s="10">
        <v>45261</v>
      </c>
      <c r="Q188">
        <v>102247.08</v>
      </c>
      <c r="R188">
        <v>0</v>
      </c>
      <c r="S188" t="s">
        <v>1098</v>
      </c>
      <c r="T188" t="s">
        <v>1095</v>
      </c>
    </row>
    <row r="189" spans="1:20" x14ac:dyDescent="0.3">
      <c r="A189" t="s">
        <v>464</v>
      </c>
      <c r="B189">
        <v>408340</v>
      </c>
      <c r="C189" t="s">
        <v>465</v>
      </c>
      <c r="D189">
        <v>128421661114</v>
      </c>
      <c r="E189" t="s">
        <v>35</v>
      </c>
      <c r="F189" t="s">
        <v>60</v>
      </c>
      <c r="G189" t="s">
        <v>61</v>
      </c>
      <c r="H189" t="s">
        <v>70</v>
      </c>
      <c r="I189" t="s">
        <v>38</v>
      </c>
      <c r="J189">
        <v>94310.27</v>
      </c>
      <c r="K189" t="s">
        <v>98</v>
      </c>
      <c r="L189" s="10">
        <v>45623</v>
      </c>
      <c r="M189" t="s">
        <v>24</v>
      </c>
      <c r="N189">
        <v>144857.48000000001</v>
      </c>
      <c r="O189" t="s">
        <v>179</v>
      </c>
      <c r="P189" s="10">
        <v>45597</v>
      </c>
      <c r="Q189">
        <v>-94310.27</v>
      </c>
      <c r="R189">
        <v>1</v>
      </c>
      <c r="S189" t="s">
        <v>1098</v>
      </c>
      <c r="T189" t="s">
        <v>1095</v>
      </c>
    </row>
    <row r="190" spans="1:20" x14ac:dyDescent="0.3">
      <c r="A190" t="s">
        <v>466</v>
      </c>
      <c r="B190">
        <v>599905</v>
      </c>
      <c r="C190" t="s">
        <v>467</v>
      </c>
      <c r="D190">
        <v>532372091101</v>
      </c>
      <c r="E190" t="s">
        <v>18</v>
      </c>
      <c r="F190" t="s">
        <v>19</v>
      </c>
      <c r="G190" t="s">
        <v>20</v>
      </c>
      <c r="H190" t="s">
        <v>70</v>
      </c>
      <c r="I190" t="s">
        <v>22</v>
      </c>
      <c r="J190">
        <v>197642.07</v>
      </c>
      <c r="K190" t="s">
        <v>23</v>
      </c>
      <c r="L190" s="10">
        <v>45364</v>
      </c>
      <c r="M190" t="s">
        <v>24</v>
      </c>
      <c r="N190">
        <v>1385401.9</v>
      </c>
      <c r="O190" t="s">
        <v>25</v>
      </c>
      <c r="P190" s="10">
        <v>45352</v>
      </c>
      <c r="Q190">
        <v>197642.07</v>
      </c>
      <c r="R190">
        <v>0</v>
      </c>
      <c r="S190" t="s">
        <v>1097</v>
      </c>
      <c r="T190" t="s">
        <v>1095</v>
      </c>
    </row>
    <row r="191" spans="1:20" x14ac:dyDescent="0.3">
      <c r="A191" t="s">
        <v>468</v>
      </c>
      <c r="B191">
        <v>185724</v>
      </c>
      <c r="C191" t="s">
        <v>469</v>
      </c>
      <c r="D191">
        <v>133109804226</v>
      </c>
      <c r="E191" t="s">
        <v>91</v>
      </c>
      <c r="F191" t="s">
        <v>105</v>
      </c>
      <c r="G191" t="s">
        <v>106</v>
      </c>
      <c r="H191" t="s">
        <v>21</v>
      </c>
      <c r="I191" t="s">
        <v>38</v>
      </c>
      <c r="J191">
        <v>108609.83</v>
      </c>
      <c r="K191" t="s">
        <v>39</v>
      </c>
      <c r="L191" s="10">
        <v>45438</v>
      </c>
      <c r="M191" t="s">
        <v>24</v>
      </c>
      <c r="N191">
        <v>630301.93000000005</v>
      </c>
      <c r="O191" t="s">
        <v>25</v>
      </c>
      <c r="P191" s="10">
        <v>45413</v>
      </c>
      <c r="Q191">
        <v>-108609.83</v>
      </c>
      <c r="R191">
        <v>0</v>
      </c>
      <c r="S191" t="s">
        <v>1098</v>
      </c>
      <c r="T191" t="s">
        <v>1095</v>
      </c>
    </row>
    <row r="192" spans="1:20" x14ac:dyDescent="0.3">
      <c r="A192" t="s">
        <v>470</v>
      </c>
      <c r="B192">
        <v>459857</v>
      </c>
      <c r="C192" t="s">
        <v>471</v>
      </c>
      <c r="D192">
        <v>674125296809</v>
      </c>
      <c r="E192" t="s">
        <v>35</v>
      </c>
      <c r="F192" t="s">
        <v>36</v>
      </c>
      <c r="G192" t="s">
        <v>37</v>
      </c>
      <c r="H192" t="s">
        <v>21</v>
      </c>
      <c r="I192" t="s">
        <v>53</v>
      </c>
      <c r="J192">
        <v>178673.93</v>
      </c>
      <c r="K192" t="s">
        <v>39</v>
      </c>
      <c r="L192" s="10">
        <v>45785</v>
      </c>
      <c r="M192" t="s">
        <v>24</v>
      </c>
      <c r="N192">
        <v>562061.77</v>
      </c>
      <c r="O192" t="s">
        <v>25</v>
      </c>
      <c r="P192" s="10">
        <v>45778</v>
      </c>
      <c r="Q192">
        <v>178673.93</v>
      </c>
      <c r="R192">
        <v>0</v>
      </c>
      <c r="S192" t="s">
        <v>1098</v>
      </c>
      <c r="T192" t="s">
        <v>1095</v>
      </c>
    </row>
    <row r="193" spans="1:20" x14ac:dyDescent="0.3">
      <c r="A193" t="s">
        <v>472</v>
      </c>
      <c r="B193">
        <v>927818</v>
      </c>
      <c r="C193" t="s">
        <v>473</v>
      </c>
      <c r="D193">
        <v>644707102453</v>
      </c>
      <c r="E193" t="s">
        <v>28</v>
      </c>
      <c r="F193" t="s">
        <v>29</v>
      </c>
      <c r="G193" t="s">
        <v>30</v>
      </c>
      <c r="H193" t="s">
        <v>70</v>
      </c>
      <c r="I193" t="s">
        <v>53</v>
      </c>
      <c r="J193">
        <v>274718.28000000003</v>
      </c>
      <c r="K193" t="s">
        <v>49</v>
      </c>
      <c r="L193" s="10">
        <v>45549</v>
      </c>
      <c r="M193" t="s">
        <v>24</v>
      </c>
      <c r="N193">
        <v>1754440.1</v>
      </c>
      <c r="O193" t="s">
        <v>25</v>
      </c>
      <c r="P193" s="10">
        <v>45536</v>
      </c>
      <c r="Q193">
        <v>274718.28000000003</v>
      </c>
      <c r="R193">
        <v>0</v>
      </c>
      <c r="S193" t="s">
        <v>1098</v>
      </c>
      <c r="T193" t="s">
        <v>1095</v>
      </c>
    </row>
    <row r="194" spans="1:20" x14ac:dyDescent="0.3">
      <c r="A194" t="s">
        <v>474</v>
      </c>
      <c r="B194">
        <v>569704</v>
      </c>
      <c r="C194" t="s">
        <v>475</v>
      </c>
      <c r="D194">
        <v>948080124499</v>
      </c>
      <c r="E194" t="s">
        <v>18</v>
      </c>
      <c r="F194" t="s">
        <v>19</v>
      </c>
      <c r="G194" t="s">
        <v>20</v>
      </c>
      <c r="H194" t="s">
        <v>67</v>
      </c>
      <c r="I194" t="s">
        <v>22</v>
      </c>
      <c r="J194">
        <v>570945.16</v>
      </c>
      <c r="K194" t="s">
        <v>39</v>
      </c>
      <c r="L194" s="10">
        <v>45534</v>
      </c>
      <c r="M194" t="s">
        <v>24</v>
      </c>
      <c r="N194">
        <v>2282261.11</v>
      </c>
      <c r="O194" t="s">
        <v>25</v>
      </c>
      <c r="P194" s="10">
        <v>45505</v>
      </c>
      <c r="Q194">
        <v>570945.16</v>
      </c>
      <c r="R194">
        <v>0</v>
      </c>
      <c r="S194" t="s">
        <v>1098</v>
      </c>
      <c r="T194" t="s">
        <v>1095</v>
      </c>
    </row>
    <row r="195" spans="1:20" x14ac:dyDescent="0.3">
      <c r="A195" t="s">
        <v>476</v>
      </c>
      <c r="B195">
        <v>930330</v>
      </c>
      <c r="C195" t="s">
        <v>477</v>
      </c>
      <c r="D195">
        <v>171580026376</v>
      </c>
      <c r="E195" t="s">
        <v>35</v>
      </c>
      <c r="F195" t="s">
        <v>73</v>
      </c>
      <c r="G195" t="s">
        <v>74</v>
      </c>
      <c r="H195" t="s">
        <v>31</v>
      </c>
      <c r="I195" t="s">
        <v>22</v>
      </c>
      <c r="J195">
        <v>54099.78</v>
      </c>
      <c r="K195" t="s">
        <v>49</v>
      </c>
      <c r="L195" s="10">
        <v>45635</v>
      </c>
      <c r="M195" t="s">
        <v>113</v>
      </c>
      <c r="N195">
        <v>747054.91</v>
      </c>
      <c r="O195" t="s">
        <v>25</v>
      </c>
      <c r="P195" s="10">
        <v>45627</v>
      </c>
      <c r="Q195">
        <v>54099.78</v>
      </c>
      <c r="R195">
        <v>0</v>
      </c>
      <c r="S195" t="s">
        <v>1098</v>
      </c>
      <c r="T195" t="s">
        <v>1095</v>
      </c>
    </row>
    <row r="196" spans="1:20" x14ac:dyDescent="0.3">
      <c r="A196" t="s">
        <v>478</v>
      </c>
      <c r="B196">
        <v>509505</v>
      </c>
      <c r="C196" t="s">
        <v>479</v>
      </c>
      <c r="D196">
        <v>323601796174</v>
      </c>
      <c r="E196" t="s">
        <v>35</v>
      </c>
      <c r="F196" t="s">
        <v>36</v>
      </c>
      <c r="G196" t="s">
        <v>37</v>
      </c>
      <c r="H196" t="s">
        <v>67</v>
      </c>
      <c r="I196" t="s">
        <v>53</v>
      </c>
      <c r="J196">
        <v>347787.5</v>
      </c>
      <c r="K196" t="s">
        <v>98</v>
      </c>
      <c r="L196" s="10">
        <v>45140</v>
      </c>
      <c r="M196" t="s">
        <v>24</v>
      </c>
      <c r="N196">
        <v>1817009.99</v>
      </c>
      <c r="O196" t="s">
        <v>25</v>
      </c>
      <c r="P196" s="10">
        <v>45139</v>
      </c>
      <c r="Q196">
        <v>347787.5</v>
      </c>
      <c r="R196">
        <v>0</v>
      </c>
      <c r="S196" t="s">
        <v>1098</v>
      </c>
      <c r="T196" t="s">
        <v>1095</v>
      </c>
    </row>
    <row r="197" spans="1:20" x14ac:dyDescent="0.3">
      <c r="A197" t="s">
        <v>480</v>
      </c>
      <c r="B197">
        <v>384060</v>
      </c>
      <c r="C197" t="s">
        <v>481</v>
      </c>
      <c r="D197">
        <v>174074350282</v>
      </c>
      <c r="E197" t="s">
        <v>28</v>
      </c>
      <c r="F197" t="s">
        <v>79</v>
      </c>
      <c r="G197" t="s">
        <v>80</v>
      </c>
      <c r="H197" t="s">
        <v>70</v>
      </c>
      <c r="I197" t="s">
        <v>53</v>
      </c>
      <c r="J197">
        <v>158285.28</v>
      </c>
      <c r="K197" t="s">
        <v>98</v>
      </c>
      <c r="L197" s="10">
        <v>45564</v>
      </c>
      <c r="M197" t="s">
        <v>24</v>
      </c>
      <c r="N197">
        <v>367563.6</v>
      </c>
      <c r="O197" t="s">
        <v>25</v>
      </c>
      <c r="P197" s="10">
        <v>45536</v>
      </c>
      <c r="Q197">
        <v>158285.28</v>
      </c>
      <c r="R197">
        <v>0</v>
      </c>
      <c r="S197" t="s">
        <v>1098</v>
      </c>
      <c r="T197" t="s">
        <v>1095</v>
      </c>
    </row>
    <row r="198" spans="1:20" x14ac:dyDescent="0.3">
      <c r="A198" t="s">
        <v>482</v>
      </c>
      <c r="B198">
        <v>196463</v>
      </c>
      <c r="C198" t="s">
        <v>483</v>
      </c>
      <c r="D198">
        <v>446324586564</v>
      </c>
      <c r="E198" t="s">
        <v>28</v>
      </c>
      <c r="F198" t="s">
        <v>216</v>
      </c>
      <c r="G198" t="s">
        <v>217</v>
      </c>
      <c r="H198" t="s">
        <v>70</v>
      </c>
      <c r="I198" t="s">
        <v>48</v>
      </c>
      <c r="J198">
        <v>232081.79</v>
      </c>
      <c r="K198" t="s">
        <v>23</v>
      </c>
      <c r="L198" s="10">
        <v>45619</v>
      </c>
      <c r="M198" t="s">
        <v>24</v>
      </c>
      <c r="N198">
        <v>1764401.86</v>
      </c>
      <c r="O198" t="s">
        <v>25</v>
      </c>
      <c r="P198" s="10">
        <v>45597</v>
      </c>
      <c r="Q198">
        <v>232081.79</v>
      </c>
      <c r="R198">
        <v>0</v>
      </c>
      <c r="S198" t="s">
        <v>1097</v>
      </c>
      <c r="T198" t="s">
        <v>1095</v>
      </c>
    </row>
    <row r="199" spans="1:20" x14ac:dyDescent="0.3">
      <c r="A199" t="s">
        <v>484</v>
      </c>
      <c r="B199">
        <v>869806</v>
      </c>
      <c r="C199" t="s">
        <v>485</v>
      </c>
      <c r="D199">
        <v>993033314029</v>
      </c>
      <c r="E199" t="s">
        <v>64</v>
      </c>
      <c r="F199" t="s">
        <v>166</v>
      </c>
      <c r="G199" t="s">
        <v>167</v>
      </c>
      <c r="H199" t="s">
        <v>31</v>
      </c>
      <c r="I199" t="s">
        <v>48</v>
      </c>
      <c r="J199">
        <v>224004.06</v>
      </c>
      <c r="K199" t="s">
        <v>39</v>
      </c>
      <c r="L199" s="10">
        <v>45369</v>
      </c>
      <c r="M199" t="s">
        <v>24</v>
      </c>
      <c r="N199">
        <v>1785565.49</v>
      </c>
      <c r="O199" t="s">
        <v>25</v>
      </c>
      <c r="P199" s="10">
        <v>45352</v>
      </c>
      <c r="Q199">
        <v>224004.06</v>
      </c>
      <c r="R199">
        <v>0</v>
      </c>
      <c r="S199" t="s">
        <v>1098</v>
      </c>
      <c r="T199" t="s">
        <v>1095</v>
      </c>
    </row>
    <row r="200" spans="1:20" x14ac:dyDescent="0.3">
      <c r="A200" t="s">
        <v>486</v>
      </c>
      <c r="B200">
        <v>916524</v>
      </c>
      <c r="C200" t="s">
        <v>487</v>
      </c>
      <c r="D200">
        <v>294611826165</v>
      </c>
      <c r="E200" t="s">
        <v>18</v>
      </c>
      <c r="F200" t="s">
        <v>56</v>
      </c>
      <c r="G200" t="s">
        <v>57</v>
      </c>
      <c r="H200" t="s">
        <v>70</v>
      </c>
      <c r="I200" t="s">
        <v>38</v>
      </c>
      <c r="J200">
        <v>104110.42</v>
      </c>
      <c r="K200" t="s">
        <v>49</v>
      </c>
      <c r="L200" s="10">
        <v>45618</v>
      </c>
      <c r="M200" t="s">
        <v>24</v>
      </c>
      <c r="N200">
        <v>33534.019999999997</v>
      </c>
      <c r="O200" t="s">
        <v>25</v>
      </c>
      <c r="P200" s="10">
        <v>45597</v>
      </c>
      <c r="Q200">
        <v>-104110.42</v>
      </c>
      <c r="R200">
        <v>0</v>
      </c>
      <c r="S200" t="s">
        <v>1098</v>
      </c>
      <c r="T200" t="s">
        <v>1095</v>
      </c>
    </row>
    <row r="201" spans="1:20" x14ac:dyDescent="0.3">
      <c r="A201" t="s">
        <v>488</v>
      </c>
      <c r="B201">
        <v>713748</v>
      </c>
      <c r="C201" t="s">
        <v>489</v>
      </c>
      <c r="D201">
        <v>104745824924</v>
      </c>
      <c r="E201" t="s">
        <v>35</v>
      </c>
      <c r="F201" t="s">
        <v>136</v>
      </c>
      <c r="G201" t="s">
        <v>137</v>
      </c>
      <c r="H201" t="s">
        <v>70</v>
      </c>
      <c r="I201" t="s">
        <v>53</v>
      </c>
      <c r="J201">
        <v>180619.41</v>
      </c>
      <c r="K201" t="s">
        <v>23</v>
      </c>
      <c r="L201" s="10">
        <v>45638</v>
      </c>
      <c r="M201" t="s">
        <v>168</v>
      </c>
      <c r="N201">
        <v>1138412.6299999999</v>
      </c>
      <c r="O201" t="s">
        <v>25</v>
      </c>
      <c r="P201" s="10">
        <v>45627</v>
      </c>
      <c r="Q201">
        <v>180619.41</v>
      </c>
      <c r="R201">
        <v>0</v>
      </c>
      <c r="S201" t="s">
        <v>1097</v>
      </c>
      <c r="T201" t="s">
        <v>1095</v>
      </c>
    </row>
    <row r="202" spans="1:20" x14ac:dyDescent="0.3">
      <c r="A202" t="s">
        <v>490</v>
      </c>
      <c r="B202">
        <v>147276</v>
      </c>
      <c r="C202" t="s">
        <v>491</v>
      </c>
      <c r="D202">
        <v>298367664209</v>
      </c>
      <c r="E202" t="s">
        <v>91</v>
      </c>
      <c r="F202" t="s">
        <v>130</v>
      </c>
      <c r="G202" t="s">
        <v>131</v>
      </c>
      <c r="H202" t="s">
        <v>31</v>
      </c>
      <c r="I202" t="s">
        <v>53</v>
      </c>
      <c r="J202">
        <v>51950.12</v>
      </c>
      <c r="K202" t="s">
        <v>39</v>
      </c>
      <c r="L202" s="10">
        <v>45700</v>
      </c>
      <c r="M202" t="s">
        <v>24</v>
      </c>
      <c r="N202">
        <v>901918.7</v>
      </c>
      <c r="O202" t="s">
        <v>25</v>
      </c>
      <c r="P202" s="10">
        <v>45689</v>
      </c>
      <c r="Q202">
        <v>51950.12</v>
      </c>
      <c r="R202">
        <v>0</v>
      </c>
      <c r="S202" t="s">
        <v>1098</v>
      </c>
      <c r="T202" t="s">
        <v>1095</v>
      </c>
    </row>
    <row r="203" spans="1:20" x14ac:dyDescent="0.3">
      <c r="A203" t="s">
        <v>492</v>
      </c>
      <c r="B203">
        <v>534364</v>
      </c>
      <c r="C203" t="s">
        <v>493</v>
      </c>
      <c r="D203">
        <v>908844402758</v>
      </c>
      <c r="E203" t="s">
        <v>91</v>
      </c>
      <c r="F203" t="s">
        <v>109</v>
      </c>
      <c r="G203" t="s">
        <v>110</v>
      </c>
      <c r="H203" t="s">
        <v>31</v>
      </c>
      <c r="I203" t="s">
        <v>22</v>
      </c>
      <c r="J203">
        <v>443370.23999999999</v>
      </c>
      <c r="K203" t="s">
        <v>39</v>
      </c>
      <c r="L203" s="10">
        <v>45361</v>
      </c>
      <c r="M203" t="s">
        <v>24</v>
      </c>
      <c r="N203">
        <v>556602.14</v>
      </c>
      <c r="O203" t="s">
        <v>25</v>
      </c>
      <c r="P203" s="10">
        <v>45352</v>
      </c>
      <c r="Q203">
        <v>443370.23999999999</v>
      </c>
      <c r="R203">
        <v>0</v>
      </c>
      <c r="S203" t="s">
        <v>1098</v>
      </c>
      <c r="T203" t="s">
        <v>1095</v>
      </c>
    </row>
    <row r="204" spans="1:20" x14ac:dyDescent="0.3">
      <c r="A204" t="s">
        <v>494</v>
      </c>
      <c r="B204">
        <v>929089</v>
      </c>
      <c r="C204" t="s">
        <v>495</v>
      </c>
      <c r="D204">
        <v>879121856049</v>
      </c>
      <c r="E204" t="s">
        <v>35</v>
      </c>
      <c r="F204" t="s">
        <v>60</v>
      </c>
      <c r="G204" t="s">
        <v>61</v>
      </c>
      <c r="H204" t="s">
        <v>31</v>
      </c>
      <c r="I204" t="s">
        <v>22</v>
      </c>
      <c r="J204">
        <v>282561.71999999997</v>
      </c>
      <c r="K204" t="s">
        <v>23</v>
      </c>
      <c r="L204" s="10">
        <v>45484</v>
      </c>
      <c r="M204" t="s">
        <v>50</v>
      </c>
      <c r="N204">
        <v>1454386.03</v>
      </c>
      <c r="O204" t="s">
        <v>25</v>
      </c>
      <c r="P204" s="10">
        <v>45474</v>
      </c>
      <c r="Q204">
        <v>282561.71999999997</v>
      </c>
      <c r="R204">
        <v>0</v>
      </c>
      <c r="S204" t="s">
        <v>1097</v>
      </c>
      <c r="T204" t="s">
        <v>1095</v>
      </c>
    </row>
    <row r="205" spans="1:20" x14ac:dyDescent="0.3">
      <c r="A205" t="s">
        <v>496</v>
      </c>
      <c r="B205">
        <v>767038</v>
      </c>
      <c r="C205" t="s">
        <v>497</v>
      </c>
      <c r="D205">
        <v>448540026288</v>
      </c>
      <c r="E205" t="s">
        <v>64</v>
      </c>
      <c r="F205" t="s">
        <v>83</v>
      </c>
      <c r="G205" t="s">
        <v>84</v>
      </c>
      <c r="H205" t="s">
        <v>31</v>
      </c>
      <c r="I205" t="s">
        <v>48</v>
      </c>
      <c r="J205">
        <v>154737.07</v>
      </c>
      <c r="K205" t="s">
        <v>32</v>
      </c>
      <c r="L205" s="10">
        <v>45624</v>
      </c>
      <c r="M205" t="s">
        <v>24</v>
      </c>
      <c r="N205">
        <v>1021765.12</v>
      </c>
      <c r="O205" t="s">
        <v>25</v>
      </c>
      <c r="P205" s="10">
        <v>45597</v>
      </c>
      <c r="Q205">
        <v>154737.07</v>
      </c>
      <c r="R205">
        <v>0</v>
      </c>
      <c r="S205" t="s">
        <v>1098</v>
      </c>
      <c r="T205" t="s">
        <v>1095</v>
      </c>
    </row>
    <row r="206" spans="1:20" x14ac:dyDescent="0.3">
      <c r="A206" t="s">
        <v>498</v>
      </c>
      <c r="B206">
        <v>661975</v>
      </c>
      <c r="C206" t="s">
        <v>499</v>
      </c>
      <c r="D206">
        <v>700954169412</v>
      </c>
      <c r="E206" t="s">
        <v>91</v>
      </c>
      <c r="F206" t="s">
        <v>162</v>
      </c>
      <c r="G206" t="s">
        <v>163</v>
      </c>
      <c r="H206" t="s">
        <v>21</v>
      </c>
      <c r="I206" t="s">
        <v>48</v>
      </c>
      <c r="J206">
        <v>116023.92</v>
      </c>
      <c r="K206" t="s">
        <v>32</v>
      </c>
      <c r="L206" s="10">
        <v>45761</v>
      </c>
      <c r="M206" t="s">
        <v>24</v>
      </c>
      <c r="N206">
        <v>1887254.61</v>
      </c>
      <c r="O206" t="s">
        <v>25</v>
      </c>
      <c r="P206" s="10">
        <v>45748</v>
      </c>
      <c r="Q206">
        <v>116023.92</v>
      </c>
      <c r="R206">
        <v>0</v>
      </c>
      <c r="S206" t="s">
        <v>1098</v>
      </c>
      <c r="T206" t="s">
        <v>1095</v>
      </c>
    </row>
    <row r="207" spans="1:20" x14ac:dyDescent="0.3">
      <c r="A207" t="s">
        <v>500</v>
      </c>
      <c r="B207">
        <v>716285</v>
      </c>
      <c r="C207" t="s">
        <v>501</v>
      </c>
      <c r="D207">
        <v>784033043076</v>
      </c>
      <c r="E207" t="s">
        <v>35</v>
      </c>
      <c r="F207" t="s">
        <v>36</v>
      </c>
      <c r="G207" t="s">
        <v>37</v>
      </c>
      <c r="H207" t="s">
        <v>31</v>
      </c>
      <c r="I207" t="s">
        <v>22</v>
      </c>
      <c r="J207">
        <v>70607.77</v>
      </c>
      <c r="K207" t="s">
        <v>39</v>
      </c>
      <c r="L207" s="10">
        <v>45329</v>
      </c>
      <c r="M207" t="s">
        <v>24</v>
      </c>
      <c r="N207">
        <v>1543020.48</v>
      </c>
      <c r="O207" t="s">
        <v>25</v>
      </c>
      <c r="P207" s="10">
        <v>45323</v>
      </c>
      <c r="Q207">
        <v>70607.77</v>
      </c>
      <c r="R207">
        <v>0</v>
      </c>
      <c r="S207" t="s">
        <v>1098</v>
      </c>
      <c r="T207" t="s">
        <v>1095</v>
      </c>
    </row>
    <row r="208" spans="1:20" x14ac:dyDescent="0.3">
      <c r="A208" t="s">
        <v>502</v>
      </c>
      <c r="B208">
        <v>605524</v>
      </c>
      <c r="C208" t="s">
        <v>503</v>
      </c>
      <c r="D208">
        <v>956938466004</v>
      </c>
      <c r="E208" t="s">
        <v>64</v>
      </c>
      <c r="F208" t="s">
        <v>146</v>
      </c>
      <c r="G208" t="s">
        <v>147</v>
      </c>
      <c r="H208" t="s">
        <v>31</v>
      </c>
      <c r="I208" t="s">
        <v>38</v>
      </c>
      <c r="J208">
        <v>72811.91</v>
      </c>
      <c r="K208" t="s">
        <v>39</v>
      </c>
      <c r="L208" s="10">
        <v>45436</v>
      </c>
      <c r="M208" t="s">
        <v>24</v>
      </c>
      <c r="N208">
        <v>84736.760000000009</v>
      </c>
      <c r="O208" t="s">
        <v>25</v>
      </c>
      <c r="P208" s="10">
        <v>45413</v>
      </c>
      <c r="Q208">
        <v>-72811.91</v>
      </c>
      <c r="R208">
        <v>0</v>
      </c>
      <c r="S208" t="s">
        <v>1098</v>
      </c>
      <c r="T208" t="s">
        <v>1095</v>
      </c>
    </row>
    <row r="209" spans="1:20" x14ac:dyDescent="0.3">
      <c r="A209" t="s">
        <v>504</v>
      </c>
      <c r="B209">
        <v>765487</v>
      </c>
      <c r="C209" t="s">
        <v>505</v>
      </c>
      <c r="D209">
        <v>356872754777</v>
      </c>
      <c r="E209" t="s">
        <v>35</v>
      </c>
      <c r="F209" t="s">
        <v>60</v>
      </c>
      <c r="G209" t="s">
        <v>61</v>
      </c>
      <c r="H209" t="s">
        <v>31</v>
      </c>
      <c r="I209" t="s">
        <v>38</v>
      </c>
      <c r="J209">
        <v>107276.07</v>
      </c>
      <c r="K209" t="s">
        <v>23</v>
      </c>
      <c r="L209" s="10">
        <v>45658</v>
      </c>
      <c r="M209" t="s">
        <v>24</v>
      </c>
      <c r="N209">
        <v>1500386.7</v>
      </c>
      <c r="O209" t="s">
        <v>25</v>
      </c>
      <c r="P209" s="10">
        <v>45658</v>
      </c>
      <c r="Q209">
        <v>-107276.07</v>
      </c>
      <c r="R209">
        <v>0</v>
      </c>
      <c r="S209" t="s">
        <v>1097</v>
      </c>
      <c r="T209" t="s">
        <v>1095</v>
      </c>
    </row>
    <row r="210" spans="1:20" x14ac:dyDescent="0.3">
      <c r="A210" t="s">
        <v>506</v>
      </c>
      <c r="B210">
        <v>155745</v>
      </c>
      <c r="C210" t="s">
        <v>507</v>
      </c>
      <c r="D210">
        <v>967181974276</v>
      </c>
      <c r="E210" t="s">
        <v>28</v>
      </c>
      <c r="F210" t="s">
        <v>29</v>
      </c>
      <c r="G210" t="s">
        <v>30</v>
      </c>
      <c r="H210" t="s">
        <v>70</v>
      </c>
      <c r="I210" t="s">
        <v>22</v>
      </c>
      <c r="J210">
        <v>91230.37</v>
      </c>
      <c r="K210" t="s">
        <v>49</v>
      </c>
      <c r="L210" s="10">
        <v>45235</v>
      </c>
      <c r="M210" t="s">
        <v>24</v>
      </c>
      <c r="N210">
        <v>1671638.55</v>
      </c>
      <c r="O210" t="s">
        <v>25</v>
      </c>
      <c r="P210" s="10">
        <v>45231</v>
      </c>
      <c r="Q210">
        <v>91230.37</v>
      </c>
      <c r="R210">
        <v>0</v>
      </c>
      <c r="S210" t="s">
        <v>1098</v>
      </c>
      <c r="T210" t="s">
        <v>1095</v>
      </c>
    </row>
    <row r="211" spans="1:20" x14ac:dyDescent="0.3">
      <c r="A211" t="s">
        <v>508</v>
      </c>
      <c r="B211">
        <v>303453</v>
      </c>
      <c r="C211" t="s">
        <v>509</v>
      </c>
      <c r="D211">
        <v>243746329004</v>
      </c>
      <c r="E211" t="s">
        <v>91</v>
      </c>
      <c r="F211" t="s">
        <v>92</v>
      </c>
      <c r="G211" t="s">
        <v>93</v>
      </c>
      <c r="H211" t="s">
        <v>21</v>
      </c>
      <c r="I211" t="s">
        <v>53</v>
      </c>
      <c r="J211">
        <v>152931.09</v>
      </c>
      <c r="K211" t="s">
        <v>49</v>
      </c>
      <c r="L211" s="10">
        <v>45373</v>
      </c>
      <c r="M211" t="s">
        <v>24</v>
      </c>
      <c r="N211">
        <v>687439.49</v>
      </c>
      <c r="O211" t="s">
        <v>25</v>
      </c>
      <c r="P211" s="10">
        <v>45352</v>
      </c>
      <c r="Q211">
        <v>152931.09</v>
      </c>
      <c r="R211">
        <v>0</v>
      </c>
      <c r="S211" t="s">
        <v>1098</v>
      </c>
      <c r="T211" t="s">
        <v>1095</v>
      </c>
    </row>
    <row r="212" spans="1:20" x14ac:dyDescent="0.3">
      <c r="A212" t="s">
        <v>510</v>
      </c>
      <c r="B212">
        <v>787015</v>
      </c>
      <c r="C212" t="s">
        <v>511</v>
      </c>
      <c r="D212">
        <v>575318543797</v>
      </c>
      <c r="E212" t="s">
        <v>64</v>
      </c>
      <c r="F212" t="s">
        <v>166</v>
      </c>
      <c r="G212" t="s">
        <v>167</v>
      </c>
      <c r="H212" t="s">
        <v>70</v>
      </c>
      <c r="I212" t="s">
        <v>38</v>
      </c>
      <c r="J212">
        <v>79178.86</v>
      </c>
      <c r="K212" t="s">
        <v>49</v>
      </c>
      <c r="L212" s="10">
        <v>45797</v>
      </c>
      <c r="M212" t="s">
        <v>24</v>
      </c>
      <c r="N212">
        <v>1718077.34</v>
      </c>
      <c r="O212" t="s">
        <v>179</v>
      </c>
      <c r="P212" s="10">
        <v>45778</v>
      </c>
      <c r="Q212">
        <v>-79178.86</v>
      </c>
      <c r="R212">
        <v>1</v>
      </c>
      <c r="S212" t="s">
        <v>1098</v>
      </c>
      <c r="T212" t="s">
        <v>1095</v>
      </c>
    </row>
    <row r="213" spans="1:20" x14ac:dyDescent="0.3">
      <c r="A213" t="s">
        <v>512</v>
      </c>
      <c r="B213">
        <v>343315</v>
      </c>
      <c r="C213" t="s">
        <v>513</v>
      </c>
      <c r="D213">
        <v>972348027984</v>
      </c>
      <c r="E213" t="s">
        <v>91</v>
      </c>
      <c r="F213" t="s">
        <v>109</v>
      </c>
      <c r="G213" t="s">
        <v>110</v>
      </c>
      <c r="H213" t="s">
        <v>21</v>
      </c>
      <c r="I213" t="s">
        <v>48</v>
      </c>
      <c r="J213">
        <v>56093.16</v>
      </c>
      <c r="K213" t="s">
        <v>32</v>
      </c>
      <c r="L213" s="10">
        <v>45237</v>
      </c>
      <c r="M213" t="s">
        <v>24</v>
      </c>
      <c r="N213">
        <v>2049780.56</v>
      </c>
      <c r="O213" t="s">
        <v>25</v>
      </c>
      <c r="P213" s="10">
        <v>45231</v>
      </c>
      <c r="Q213">
        <v>56093.16</v>
      </c>
      <c r="R213">
        <v>0</v>
      </c>
      <c r="S213" t="s">
        <v>1098</v>
      </c>
      <c r="T213" t="s">
        <v>1095</v>
      </c>
    </row>
    <row r="214" spans="1:20" x14ac:dyDescent="0.3">
      <c r="A214" t="s">
        <v>514</v>
      </c>
      <c r="B214">
        <v>840177</v>
      </c>
      <c r="C214" t="s">
        <v>515</v>
      </c>
      <c r="D214">
        <v>620866833278</v>
      </c>
      <c r="E214" t="s">
        <v>28</v>
      </c>
      <c r="F214" t="s">
        <v>192</v>
      </c>
      <c r="G214" t="s">
        <v>193</v>
      </c>
      <c r="H214" t="s">
        <v>67</v>
      </c>
      <c r="I214" t="s">
        <v>38</v>
      </c>
      <c r="J214">
        <v>28423.01</v>
      </c>
      <c r="K214" t="s">
        <v>98</v>
      </c>
      <c r="L214" s="10">
        <v>45775</v>
      </c>
      <c r="M214" t="s">
        <v>24</v>
      </c>
      <c r="N214">
        <v>508306.81999999989</v>
      </c>
      <c r="O214" t="s">
        <v>25</v>
      </c>
      <c r="P214" s="10">
        <v>45748</v>
      </c>
      <c r="Q214">
        <v>-28423.01</v>
      </c>
      <c r="R214">
        <v>0</v>
      </c>
      <c r="S214" t="s">
        <v>1098</v>
      </c>
      <c r="T214" t="s">
        <v>1095</v>
      </c>
    </row>
    <row r="215" spans="1:20" x14ac:dyDescent="0.3">
      <c r="A215" t="s">
        <v>516</v>
      </c>
      <c r="B215">
        <v>449494</v>
      </c>
      <c r="C215" t="s">
        <v>517</v>
      </c>
      <c r="D215">
        <v>655684209042</v>
      </c>
      <c r="E215" t="s">
        <v>28</v>
      </c>
      <c r="F215" t="s">
        <v>29</v>
      </c>
      <c r="G215" t="s">
        <v>30</v>
      </c>
      <c r="H215" t="s">
        <v>31</v>
      </c>
      <c r="I215" t="s">
        <v>48</v>
      </c>
      <c r="J215">
        <v>265513.02</v>
      </c>
      <c r="K215" t="s">
        <v>49</v>
      </c>
      <c r="L215" s="10">
        <v>45539</v>
      </c>
      <c r="M215" t="s">
        <v>24</v>
      </c>
      <c r="N215">
        <v>1258078.81</v>
      </c>
      <c r="O215" t="s">
        <v>25</v>
      </c>
      <c r="P215" s="10">
        <v>45536</v>
      </c>
      <c r="Q215">
        <v>265513.02</v>
      </c>
      <c r="R215">
        <v>0</v>
      </c>
      <c r="S215" t="s">
        <v>1098</v>
      </c>
      <c r="T215" t="s">
        <v>1095</v>
      </c>
    </row>
    <row r="216" spans="1:20" x14ac:dyDescent="0.3">
      <c r="A216" t="s">
        <v>518</v>
      </c>
      <c r="B216">
        <v>592263</v>
      </c>
      <c r="C216" t="s">
        <v>519</v>
      </c>
      <c r="D216">
        <v>393065946926</v>
      </c>
      <c r="E216" t="s">
        <v>35</v>
      </c>
      <c r="F216" t="s">
        <v>42</v>
      </c>
      <c r="G216" t="s">
        <v>43</v>
      </c>
      <c r="H216" t="s">
        <v>70</v>
      </c>
      <c r="I216" t="s">
        <v>22</v>
      </c>
      <c r="J216">
        <v>420524.11</v>
      </c>
      <c r="K216" t="s">
        <v>32</v>
      </c>
      <c r="L216" s="10">
        <v>45121</v>
      </c>
      <c r="M216" t="s">
        <v>24</v>
      </c>
      <c r="N216">
        <v>1287572.97</v>
      </c>
      <c r="O216" t="s">
        <v>25</v>
      </c>
      <c r="P216" s="10">
        <v>45108</v>
      </c>
      <c r="Q216">
        <v>420524.11</v>
      </c>
      <c r="R216">
        <v>0</v>
      </c>
      <c r="S216" t="s">
        <v>1098</v>
      </c>
      <c r="T216" t="s">
        <v>1095</v>
      </c>
    </row>
    <row r="217" spans="1:20" x14ac:dyDescent="0.3">
      <c r="A217" t="s">
        <v>520</v>
      </c>
      <c r="B217">
        <v>903080</v>
      </c>
      <c r="C217" t="s">
        <v>521</v>
      </c>
      <c r="D217">
        <v>770477101883</v>
      </c>
      <c r="E217" t="s">
        <v>64</v>
      </c>
      <c r="F217" t="s">
        <v>83</v>
      </c>
      <c r="G217" t="s">
        <v>84</v>
      </c>
      <c r="H217" t="s">
        <v>67</v>
      </c>
      <c r="I217" t="s">
        <v>48</v>
      </c>
      <c r="J217">
        <v>63923.91</v>
      </c>
      <c r="K217" t="s">
        <v>23</v>
      </c>
      <c r="L217" s="10">
        <v>45367</v>
      </c>
      <c r="M217" t="s">
        <v>24</v>
      </c>
      <c r="N217">
        <v>1027058.02</v>
      </c>
      <c r="O217" t="s">
        <v>25</v>
      </c>
      <c r="P217" s="10">
        <v>45352</v>
      </c>
      <c r="Q217">
        <v>63923.91</v>
      </c>
      <c r="R217">
        <v>0</v>
      </c>
      <c r="S217" t="s">
        <v>1097</v>
      </c>
      <c r="T217" t="s">
        <v>1095</v>
      </c>
    </row>
    <row r="218" spans="1:20" x14ac:dyDescent="0.3">
      <c r="A218" t="s">
        <v>522</v>
      </c>
      <c r="B218">
        <v>438809</v>
      </c>
      <c r="C218" t="s">
        <v>523</v>
      </c>
      <c r="D218">
        <v>268345748955</v>
      </c>
      <c r="E218" t="s">
        <v>28</v>
      </c>
      <c r="F218" t="s">
        <v>216</v>
      </c>
      <c r="G218" t="s">
        <v>217</v>
      </c>
      <c r="H218" t="s">
        <v>21</v>
      </c>
      <c r="I218" t="s">
        <v>48</v>
      </c>
      <c r="J218">
        <v>146930.62</v>
      </c>
      <c r="K218" t="s">
        <v>32</v>
      </c>
      <c r="L218" s="10">
        <v>45770</v>
      </c>
      <c r="M218" t="s">
        <v>24</v>
      </c>
      <c r="N218">
        <v>744892.46</v>
      </c>
      <c r="O218" t="s">
        <v>25</v>
      </c>
      <c r="P218" s="10">
        <v>45748</v>
      </c>
      <c r="Q218">
        <v>146930.62</v>
      </c>
      <c r="R218">
        <v>0</v>
      </c>
      <c r="S218" t="s">
        <v>1098</v>
      </c>
      <c r="T218" t="s">
        <v>1095</v>
      </c>
    </row>
    <row r="219" spans="1:20" x14ac:dyDescent="0.3">
      <c r="A219" t="s">
        <v>524</v>
      </c>
      <c r="B219">
        <v>521810</v>
      </c>
      <c r="C219" t="s">
        <v>525</v>
      </c>
      <c r="D219">
        <v>309101241276</v>
      </c>
      <c r="E219" t="s">
        <v>91</v>
      </c>
      <c r="F219" t="s">
        <v>109</v>
      </c>
      <c r="G219" t="s">
        <v>110</v>
      </c>
      <c r="H219" t="s">
        <v>67</v>
      </c>
      <c r="I219" t="s">
        <v>38</v>
      </c>
      <c r="J219">
        <v>67585.070000000007</v>
      </c>
      <c r="K219" t="s">
        <v>98</v>
      </c>
      <c r="L219" s="10">
        <v>45572</v>
      </c>
      <c r="M219" t="s">
        <v>113</v>
      </c>
      <c r="N219">
        <v>100329.61</v>
      </c>
      <c r="O219" t="s">
        <v>25</v>
      </c>
      <c r="P219" s="10">
        <v>45566</v>
      </c>
      <c r="Q219">
        <v>-67585.070000000007</v>
      </c>
      <c r="R219">
        <v>0</v>
      </c>
      <c r="S219" t="s">
        <v>1098</v>
      </c>
      <c r="T219" t="s">
        <v>1095</v>
      </c>
    </row>
    <row r="220" spans="1:20" x14ac:dyDescent="0.3">
      <c r="A220" t="s">
        <v>526</v>
      </c>
      <c r="B220">
        <v>727634</v>
      </c>
      <c r="C220" t="s">
        <v>527</v>
      </c>
      <c r="D220">
        <v>543364918707</v>
      </c>
      <c r="E220" t="s">
        <v>64</v>
      </c>
      <c r="F220" t="s">
        <v>177</v>
      </c>
      <c r="G220" t="s">
        <v>178</v>
      </c>
      <c r="H220" t="s">
        <v>70</v>
      </c>
      <c r="I220" t="s">
        <v>22</v>
      </c>
      <c r="J220">
        <v>72775.399999999994</v>
      </c>
      <c r="K220" t="s">
        <v>39</v>
      </c>
      <c r="L220" s="10">
        <v>45341</v>
      </c>
      <c r="M220" t="s">
        <v>24</v>
      </c>
      <c r="N220">
        <v>1528394.35</v>
      </c>
      <c r="O220" t="s">
        <v>25</v>
      </c>
      <c r="P220" s="10">
        <v>45323</v>
      </c>
      <c r="Q220">
        <v>72775.399999999994</v>
      </c>
      <c r="R220">
        <v>0</v>
      </c>
      <c r="S220" t="s">
        <v>1098</v>
      </c>
      <c r="T220" t="s">
        <v>1095</v>
      </c>
    </row>
    <row r="221" spans="1:20" x14ac:dyDescent="0.3">
      <c r="A221" t="s">
        <v>528</v>
      </c>
      <c r="B221">
        <v>149140</v>
      </c>
      <c r="C221" t="s">
        <v>529</v>
      </c>
      <c r="D221">
        <v>319552688595</v>
      </c>
      <c r="E221" t="s">
        <v>18</v>
      </c>
      <c r="F221" t="s">
        <v>46</v>
      </c>
      <c r="G221" t="s">
        <v>47</v>
      </c>
      <c r="H221" t="s">
        <v>67</v>
      </c>
      <c r="I221" t="s">
        <v>38</v>
      </c>
      <c r="J221">
        <v>34703.17</v>
      </c>
      <c r="K221" t="s">
        <v>98</v>
      </c>
      <c r="L221" s="10">
        <v>45765</v>
      </c>
      <c r="M221" t="s">
        <v>24</v>
      </c>
      <c r="N221">
        <v>1244069.3400000001</v>
      </c>
      <c r="O221" t="s">
        <v>25</v>
      </c>
      <c r="P221" s="10">
        <v>45748</v>
      </c>
      <c r="Q221">
        <v>-34703.17</v>
      </c>
      <c r="R221">
        <v>0</v>
      </c>
      <c r="S221" t="s">
        <v>1098</v>
      </c>
      <c r="T221" t="s">
        <v>1095</v>
      </c>
    </row>
    <row r="222" spans="1:20" x14ac:dyDescent="0.3">
      <c r="A222" t="s">
        <v>530</v>
      </c>
      <c r="B222">
        <v>507147</v>
      </c>
      <c r="C222" t="s">
        <v>531</v>
      </c>
      <c r="D222">
        <v>684278087022</v>
      </c>
      <c r="E222" t="s">
        <v>28</v>
      </c>
      <c r="F222" t="s">
        <v>150</v>
      </c>
      <c r="G222" t="s">
        <v>151</v>
      </c>
      <c r="H222" t="s">
        <v>70</v>
      </c>
      <c r="I222" t="s">
        <v>48</v>
      </c>
      <c r="J222">
        <v>45309.52</v>
      </c>
      <c r="K222" t="s">
        <v>49</v>
      </c>
      <c r="L222" s="10">
        <v>45300</v>
      </c>
      <c r="M222" t="s">
        <v>113</v>
      </c>
      <c r="N222">
        <v>334817.68</v>
      </c>
      <c r="O222" t="s">
        <v>25</v>
      </c>
      <c r="P222" s="10">
        <v>45292</v>
      </c>
      <c r="Q222">
        <v>45309.52</v>
      </c>
      <c r="R222">
        <v>0</v>
      </c>
      <c r="S222" t="s">
        <v>1098</v>
      </c>
      <c r="T222" t="s">
        <v>1095</v>
      </c>
    </row>
    <row r="223" spans="1:20" x14ac:dyDescent="0.3">
      <c r="A223" t="s">
        <v>532</v>
      </c>
      <c r="B223">
        <v>196451</v>
      </c>
      <c r="C223" t="s">
        <v>533</v>
      </c>
      <c r="D223">
        <v>789357220935</v>
      </c>
      <c r="E223" t="s">
        <v>64</v>
      </c>
      <c r="F223" t="s">
        <v>177</v>
      </c>
      <c r="G223" t="s">
        <v>178</v>
      </c>
      <c r="H223" t="s">
        <v>21</v>
      </c>
      <c r="I223" t="s">
        <v>53</v>
      </c>
      <c r="J223">
        <v>417377.31</v>
      </c>
      <c r="K223" t="s">
        <v>98</v>
      </c>
      <c r="L223" s="10">
        <v>45154</v>
      </c>
      <c r="M223" t="s">
        <v>113</v>
      </c>
      <c r="N223">
        <v>919157.55</v>
      </c>
      <c r="O223" t="s">
        <v>25</v>
      </c>
      <c r="P223" s="10">
        <v>45139</v>
      </c>
      <c r="Q223">
        <v>417377.31</v>
      </c>
      <c r="R223">
        <v>0</v>
      </c>
      <c r="S223" t="s">
        <v>1098</v>
      </c>
      <c r="T223" t="s">
        <v>1095</v>
      </c>
    </row>
    <row r="224" spans="1:20" x14ac:dyDescent="0.3">
      <c r="A224" t="s">
        <v>534</v>
      </c>
      <c r="B224">
        <v>881741</v>
      </c>
      <c r="C224" t="s">
        <v>535</v>
      </c>
      <c r="D224">
        <v>559502587824</v>
      </c>
      <c r="E224" t="s">
        <v>91</v>
      </c>
      <c r="F224" t="s">
        <v>130</v>
      </c>
      <c r="G224" t="s">
        <v>131</v>
      </c>
      <c r="H224" t="s">
        <v>31</v>
      </c>
      <c r="I224" t="s">
        <v>53</v>
      </c>
      <c r="J224">
        <v>236145.49</v>
      </c>
      <c r="K224" t="s">
        <v>32</v>
      </c>
      <c r="L224" s="10">
        <v>45131</v>
      </c>
      <c r="M224" t="s">
        <v>24</v>
      </c>
      <c r="N224">
        <v>1685483.16</v>
      </c>
      <c r="O224" t="s">
        <v>25</v>
      </c>
      <c r="P224" s="10">
        <v>45108</v>
      </c>
      <c r="Q224">
        <v>236145.49</v>
      </c>
      <c r="R224">
        <v>0</v>
      </c>
      <c r="S224" t="s">
        <v>1098</v>
      </c>
      <c r="T224" t="s">
        <v>1095</v>
      </c>
    </row>
    <row r="225" spans="1:20" x14ac:dyDescent="0.3">
      <c r="A225" t="s">
        <v>536</v>
      </c>
      <c r="B225">
        <v>441139</v>
      </c>
      <c r="C225" t="s">
        <v>537</v>
      </c>
      <c r="D225">
        <v>411549448636</v>
      </c>
      <c r="E225" t="s">
        <v>35</v>
      </c>
      <c r="F225" t="s">
        <v>42</v>
      </c>
      <c r="G225" t="s">
        <v>43</v>
      </c>
      <c r="H225" t="s">
        <v>70</v>
      </c>
      <c r="I225" t="s">
        <v>22</v>
      </c>
      <c r="J225">
        <v>414000.24</v>
      </c>
      <c r="K225" t="s">
        <v>49</v>
      </c>
      <c r="L225" s="10">
        <v>45270</v>
      </c>
      <c r="M225" t="s">
        <v>24</v>
      </c>
      <c r="N225">
        <v>1924698.42</v>
      </c>
      <c r="O225" t="s">
        <v>25</v>
      </c>
      <c r="P225" s="10">
        <v>45261</v>
      </c>
      <c r="Q225">
        <v>414000.24</v>
      </c>
      <c r="R225">
        <v>0</v>
      </c>
      <c r="S225" t="s">
        <v>1098</v>
      </c>
      <c r="T225" t="s">
        <v>1095</v>
      </c>
    </row>
    <row r="226" spans="1:20" x14ac:dyDescent="0.3">
      <c r="A226" t="s">
        <v>538</v>
      </c>
      <c r="B226">
        <v>265807</v>
      </c>
      <c r="C226" t="s">
        <v>539</v>
      </c>
      <c r="D226">
        <v>720641924691</v>
      </c>
      <c r="E226" t="s">
        <v>18</v>
      </c>
      <c r="F226" t="s">
        <v>46</v>
      </c>
      <c r="G226" t="s">
        <v>47</v>
      </c>
      <c r="H226" t="s">
        <v>67</v>
      </c>
      <c r="I226" t="s">
        <v>38</v>
      </c>
      <c r="J226">
        <v>40907.24</v>
      </c>
      <c r="K226" t="s">
        <v>23</v>
      </c>
      <c r="L226" s="10">
        <v>45386</v>
      </c>
      <c r="M226" t="s">
        <v>24</v>
      </c>
      <c r="N226">
        <v>284043.40999999997</v>
      </c>
      <c r="O226" t="s">
        <v>25</v>
      </c>
      <c r="P226" s="10">
        <v>45383</v>
      </c>
      <c r="Q226">
        <v>-40907.24</v>
      </c>
      <c r="R226">
        <v>0</v>
      </c>
      <c r="S226" t="s">
        <v>1097</v>
      </c>
      <c r="T226" t="s">
        <v>1095</v>
      </c>
    </row>
    <row r="227" spans="1:20" x14ac:dyDescent="0.3">
      <c r="A227" t="s">
        <v>540</v>
      </c>
      <c r="B227">
        <v>570485</v>
      </c>
      <c r="C227" t="s">
        <v>541</v>
      </c>
      <c r="D227">
        <v>773335459822</v>
      </c>
      <c r="E227" t="s">
        <v>35</v>
      </c>
      <c r="F227" t="s">
        <v>36</v>
      </c>
      <c r="G227" t="s">
        <v>37</v>
      </c>
      <c r="H227" t="s">
        <v>67</v>
      </c>
      <c r="I227" t="s">
        <v>48</v>
      </c>
      <c r="J227">
        <v>230412.57</v>
      </c>
      <c r="K227" t="s">
        <v>39</v>
      </c>
      <c r="L227" s="10">
        <v>45612</v>
      </c>
      <c r="M227" t="s">
        <v>24</v>
      </c>
      <c r="N227">
        <v>1284629.1200000001</v>
      </c>
      <c r="O227" t="s">
        <v>25</v>
      </c>
      <c r="P227" s="10">
        <v>45597</v>
      </c>
      <c r="Q227">
        <v>230412.57</v>
      </c>
      <c r="R227">
        <v>0</v>
      </c>
      <c r="S227" t="s">
        <v>1098</v>
      </c>
      <c r="T227" t="s">
        <v>1095</v>
      </c>
    </row>
    <row r="228" spans="1:20" x14ac:dyDescent="0.3">
      <c r="A228" t="s">
        <v>542</v>
      </c>
      <c r="B228">
        <v>325170</v>
      </c>
      <c r="C228" t="s">
        <v>543</v>
      </c>
      <c r="D228">
        <v>356915330199</v>
      </c>
      <c r="E228" t="s">
        <v>18</v>
      </c>
      <c r="F228" t="s">
        <v>87</v>
      </c>
      <c r="G228" t="s">
        <v>88</v>
      </c>
      <c r="H228" t="s">
        <v>70</v>
      </c>
      <c r="I228" t="s">
        <v>53</v>
      </c>
      <c r="J228">
        <v>331287.71999999997</v>
      </c>
      <c r="K228" t="s">
        <v>32</v>
      </c>
      <c r="L228" s="10">
        <v>45843</v>
      </c>
      <c r="M228" t="s">
        <v>24</v>
      </c>
      <c r="N228">
        <v>1097203.82</v>
      </c>
      <c r="O228" t="s">
        <v>25</v>
      </c>
      <c r="P228" s="10">
        <v>45839</v>
      </c>
      <c r="Q228">
        <v>331287.71999999997</v>
      </c>
      <c r="R228">
        <v>0</v>
      </c>
      <c r="S228" t="s">
        <v>1098</v>
      </c>
      <c r="T228" t="s">
        <v>1095</v>
      </c>
    </row>
    <row r="229" spans="1:20" x14ac:dyDescent="0.3">
      <c r="A229" t="s">
        <v>544</v>
      </c>
      <c r="B229">
        <v>533034</v>
      </c>
      <c r="C229" t="s">
        <v>545</v>
      </c>
      <c r="D229">
        <v>393607099649</v>
      </c>
      <c r="E229" t="s">
        <v>64</v>
      </c>
      <c r="F229" t="s">
        <v>177</v>
      </c>
      <c r="G229" t="s">
        <v>178</v>
      </c>
      <c r="H229" t="s">
        <v>21</v>
      </c>
      <c r="I229" t="s">
        <v>53</v>
      </c>
      <c r="J229">
        <v>206178.7</v>
      </c>
      <c r="K229" t="s">
        <v>98</v>
      </c>
      <c r="L229" s="10">
        <v>45398</v>
      </c>
      <c r="M229" t="s">
        <v>24</v>
      </c>
      <c r="N229">
        <v>1251653.83</v>
      </c>
      <c r="O229" t="s">
        <v>25</v>
      </c>
      <c r="P229" s="10">
        <v>45383</v>
      </c>
      <c r="Q229">
        <v>206178.7</v>
      </c>
      <c r="R229">
        <v>0</v>
      </c>
      <c r="S229" t="s">
        <v>1098</v>
      </c>
      <c r="T229" t="s">
        <v>1095</v>
      </c>
    </row>
    <row r="230" spans="1:20" x14ac:dyDescent="0.3">
      <c r="A230" t="s">
        <v>546</v>
      </c>
      <c r="B230">
        <v>677618</v>
      </c>
      <c r="C230" t="s">
        <v>547</v>
      </c>
      <c r="D230">
        <v>339400232530</v>
      </c>
      <c r="E230" t="s">
        <v>35</v>
      </c>
      <c r="F230" t="s">
        <v>136</v>
      </c>
      <c r="G230" t="s">
        <v>137</v>
      </c>
      <c r="H230" t="s">
        <v>21</v>
      </c>
      <c r="I230" t="s">
        <v>22</v>
      </c>
      <c r="J230">
        <v>590927.39</v>
      </c>
      <c r="K230" t="s">
        <v>39</v>
      </c>
      <c r="L230" s="10">
        <v>45436</v>
      </c>
      <c r="M230" t="s">
        <v>24</v>
      </c>
      <c r="N230">
        <v>852949.58000000007</v>
      </c>
      <c r="O230" t="s">
        <v>25</v>
      </c>
      <c r="P230" s="10">
        <v>45413</v>
      </c>
      <c r="Q230">
        <v>590927.39</v>
      </c>
      <c r="R230">
        <v>0</v>
      </c>
      <c r="S230" t="s">
        <v>1098</v>
      </c>
      <c r="T230" t="s">
        <v>1095</v>
      </c>
    </row>
    <row r="231" spans="1:20" x14ac:dyDescent="0.3">
      <c r="A231" t="s">
        <v>548</v>
      </c>
      <c r="B231">
        <v>630575</v>
      </c>
      <c r="C231" t="s">
        <v>549</v>
      </c>
      <c r="D231">
        <v>675328116160</v>
      </c>
      <c r="E231" t="s">
        <v>64</v>
      </c>
      <c r="F231" t="s">
        <v>166</v>
      </c>
      <c r="G231" t="s">
        <v>167</v>
      </c>
      <c r="H231" t="s">
        <v>70</v>
      </c>
      <c r="I231" t="s">
        <v>53</v>
      </c>
      <c r="J231">
        <v>357995.77</v>
      </c>
      <c r="K231" t="s">
        <v>98</v>
      </c>
      <c r="L231" s="10">
        <v>45660</v>
      </c>
      <c r="M231" t="s">
        <v>24</v>
      </c>
      <c r="N231">
        <v>1142710.9099999999</v>
      </c>
      <c r="O231" t="s">
        <v>25</v>
      </c>
      <c r="P231" s="10">
        <v>45658</v>
      </c>
      <c r="Q231">
        <v>357995.77</v>
      </c>
      <c r="R231">
        <v>0</v>
      </c>
      <c r="S231" t="s">
        <v>1098</v>
      </c>
      <c r="T231" t="s">
        <v>1095</v>
      </c>
    </row>
    <row r="232" spans="1:20" x14ac:dyDescent="0.3">
      <c r="A232" t="s">
        <v>550</v>
      </c>
      <c r="B232">
        <v>661610</v>
      </c>
      <c r="C232" t="s">
        <v>551</v>
      </c>
      <c r="D232">
        <v>636266180100</v>
      </c>
      <c r="E232" t="s">
        <v>18</v>
      </c>
      <c r="F232" t="s">
        <v>56</v>
      </c>
      <c r="G232" t="s">
        <v>57</v>
      </c>
      <c r="H232" t="s">
        <v>70</v>
      </c>
      <c r="I232" t="s">
        <v>48</v>
      </c>
      <c r="J232">
        <v>125983.99</v>
      </c>
      <c r="K232" t="s">
        <v>49</v>
      </c>
      <c r="L232" s="10">
        <v>45835</v>
      </c>
      <c r="M232" t="s">
        <v>113</v>
      </c>
      <c r="N232">
        <v>1804511.38</v>
      </c>
      <c r="O232" t="s">
        <v>25</v>
      </c>
      <c r="P232" s="10">
        <v>45809</v>
      </c>
      <c r="Q232">
        <v>125983.99</v>
      </c>
      <c r="R232">
        <v>0</v>
      </c>
      <c r="S232" t="s">
        <v>1098</v>
      </c>
      <c r="T232" t="s">
        <v>1095</v>
      </c>
    </row>
    <row r="233" spans="1:20" x14ac:dyDescent="0.3">
      <c r="A233" t="s">
        <v>552</v>
      </c>
      <c r="B233">
        <v>275383</v>
      </c>
      <c r="C233" t="s">
        <v>553</v>
      </c>
      <c r="D233">
        <v>349805921639</v>
      </c>
      <c r="E233" t="s">
        <v>91</v>
      </c>
      <c r="F233" t="s">
        <v>92</v>
      </c>
      <c r="G233" t="s">
        <v>93</v>
      </c>
      <c r="H233" t="s">
        <v>70</v>
      </c>
      <c r="I233" t="s">
        <v>53</v>
      </c>
      <c r="J233">
        <v>37759.040000000001</v>
      </c>
      <c r="K233" t="s">
        <v>32</v>
      </c>
      <c r="L233" s="10">
        <v>45273</v>
      </c>
      <c r="M233" t="s">
        <v>24</v>
      </c>
      <c r="N233">
        <v>1961954.36</v>
      </c>
      <c r="O233" t="s">
        <v>25</v>
      </c>
      <c r="P233" s="10">
        <v>45261</v>
      </c>
      <c r="Q233">
        <v>37759.040000000001</v>
      </c>
      <c r="R233">
        <v>0</v>
      </c>
      <c r="S233" t="s">
        <v>1098</v>
      </c>
      <c r="T233" t="s">
        <v>1095</v>
      </c>
    </row>
    <row r="234" spans="1:20" x14ac:dyDescent="0.3">
      <c r="A234" t="s">
        <v>554</v>
      </c>
      <c r="B234">
        <v>674437</v>
      </c>
      <c r="C234" t="s">
        <v>555</v>
      </c>
      <c r="D234">
        <v>966380460400</v>
      </c>
      <c r="E234" t="s">
        <v>28</v>
      </c>
      <c r="F234" t="s">
        <v>216</v>
      </c>
      <c r="G234" t="s">
        <v>217</v>
      </c>
      <c r="H234" t="s">
        <v>70</v>
      </c>
      <c r="I234" t="s">
        <v>53</v>
      </c>
      <c r="J234">
        <v>470719.47</v>
      </c>
      <c r="K234" t="s">
        <v>23</v>
      </c>
      <c r="L234" s="10">
        <v>45203</v>
      </c>
      <c r="M234" t="s">
        <v>24</v>
      </c>
      <c r="N234">
        <v>1096698.1000000001</v>
      </c>
      <c r="O234" t="s">
        <v>25</v>
      </c>
      <c r="P234" s="10">
        <v>45200</v>
      </c>
      <c r="Q234">
        <v>470719.47</v>
      </c>
      <c r="R234">
        <v>0</v>
      </c>
      <c r="S234" t="s">
        <v>1097</v>
      </c>
      <c r="T234" t="s">
        <v>1095</v>
      </c>
    </row>
    <row r="235" spans="1:20" x14ac:dyDescent="0.3">
      <c r="A235" t="s">
        <v>556</v>
      </c>
      <c r="B235">
        <v>941406</v>
      </c>
      <c r="C235" t="s">
        <v>557</v>
      </c>
      <c r="D235">
        <v>148789252268</v>
      </c>
      <c r="E235" t="s">
        <v>64</v>
      </c>
      <c r="F235" t="s">
        <v>166</v>
      </c>
      <c r="G235" t="s">
        <v>167</v>
      </c>
      <c r="H235" t="s">
        <v>67</v>
      </c>
      <c r="I235" t="s">
        <v>48</v>
      </c>
      <c r="J235">
        <v>229396.76</v>
      </c>
      <c r="K235" t="s">
        <v>39</v>
      </c>
      <c r="L235" s="10">
        <v>45295</v>
      </c>
      <c r="M235" t="s">
        <v>24</v>
      </c>
      <c r="N235">
        <v>1119253.7</v>
      </c>
      <c r="O235" t="s">
        <v>25</v>
      </c>
      <c r="P235" s="10">
        <v>45292</v>
      </c>
      <c r="Q235">
        <v>229396.76</v>
      </c>
      <c r="R235">
        <v>0</v>
      </c>
      <c r="S235" t="s">
        <v>1098</v>
      </c>
      <c r="T235" t="s">
        <v>1095</v>
      </c>
    </row>
    <row r="236" spans="1:20" x14ac:dyDescent="0.3">
      <c r="A236" t="s">
        <v>558</v>
      </c>
      <c r="B236">
        <v>112063</v>
      </c>
      <c r="C236" t="s">
        <v>559</v>
      </c>
      <c r="D236">
        <v>963159668295</v>
      </c>
      <c r="E236" t="s">
        <v>91</v>
      </c>
      <c r="F236" t="s">
        <v>130</v>
      </c>
      <c r="G236" t="s">
        <v>131</v>
      </c>
      <c r="H236" t="s">
        <v>67</v>
      </c>
      <c r="I236" t="s">
        <v>48</v>
      </c>
      <c r="J236">
        <v>263052.93</v>
      </c>
      <c r="K236" t="s">
        <v>98</v>
      </c>
      <c r="L236" s="10">
        <v>45367</v>
      </c>
      <c r="M236" t="s">
        <v>168</v>
      </c>
      <c r="N236">
        <v>2010231.74</v>
      </c>
      <c r="O236" t="s">
        <v>179</v>
      </c>
      <c r="P236" s="10">
        <v>45352</v>
      </c>
      <c r="Q236">
        <v>263052.93</v>
      </c>
      <c r="R236">
        <v>1</v>
      </c>
      <c r="S236" t="s">
        <v>1098</v>
      </c>
      <c r="T236" t="s">
        <v>1095</v>
      </c>
    </row>
    <row r="237" spans="1:20" x14ac:dyDescent="0.3">
      <c r="A237" t="s">
        <v>560</v>
      </c>
      <c r="B237">
        <v>167371</v>
      </c>
      <c r="C237" t="s">
        <v>561</v>
      </c>
      <c r="D237">
        <v>265003686340</v>
      </c>
      <c r="E237" t="s">
        <v>35</v>
      </c>
      <c r="F237" t="s">
        <v>60</v>
      </c>
      <c r="G237" t="s">
        <v>61</v>
      </c>
      <c r="H237" t="s">
        <v>21</v>
      </c>
      <c r="I237" t="s">
        <v>53</v>
      </c>
      <c r="J237">
        <v>343900.3</v>
      </c>
      <c r="K237" t="s">
        <v>49</v>
      </c>
      <c r="L237" s="10">
        <v>45576</v>
      </c>
      <c r="M237" t="s">
        <v>168</v>
      </c>
      <c r="N237">
        <v>1451827.9</v>
      </c>
      <c r="O237" t="s">
        <v>25</v>
      </c>
      <c r="P237" s="10">
        <v>45566</v>
      </c>
      <c r="Q237">
        <v>343900.3</v>
      </c>
      <c r="R237">
        <v>0</v>
      </c>
      <c r="S237" t="s">
        <v>1098</v>
      </c>
      <c r="T237" t="s">
        <v>1095</v>
      </c>
    </row>
    <row r="238" spans="1:20" x14ac:dyDescent="0.3">
      <c r="A238" t="s">
        <v>562</v>
      </c>
      <c r="B238">
        <v>163530</v>
      </c>
      <c r="C238" t="s">
        <v>563</v>
      </c>
      <c r="D238">
        <v>284903006756</v>
      </c>
      <c r="E238" t="s">
        <v>28</v>
      </c>
      <c r="F238" t="s">
        <v>150</v>
      </c>
      <c r="G238" t="s">
        <v>151</v>
      </c>
      <c r="H238" t="s">
        <v>21</v>
      </c>
      <c r="I238" t="s">
        <v>53</v>
      </c>
      <c r="J238">
        <v>141940.85999999999</v>
      </c>
      <c r="K238" t="s">
        <v>23</v>
      </c>
      <c r="L238" s="10">
        <v>45844</v>
      </c>
      <c r="M238" t="s">
        <v>50</v>
      </c>
      <c r="N238">
        <v>1414350.1</v>
      </c>
      <c r="O238" t="s">
        <v>25</v>
      </c>
      <c r="P238" s="10">
        <v>45839</v>
      </c>
      <c r="Q238">
        <v>141940.85999999999</v>
      </c>
      <c r="R238">
        <v>0</v>
      </c>
      <c r="S238" t="s">
        <v>1097</v>
      </c>
      <c r="T238" t="s">
        <v>1095</v>
      </c>
    </row>
    <row r="239" spans="1:20" x14ac:dyDescent="0.3">
      <c r="A239" t="s">
        <v>564</v>
      </c>
      <c r="B239">
        <v>450272</v>
      </c>
      <c r="C239" t="s">
        <v>565</v>
      </c>
      <c r="D239">
        <v>193418652788</v>
      </c>
      <c r="E239" t="s">
        <v>28</v>
      </c>
      <c r="F239" t="s">
        <v>79</v>
      </c>
      <c r="G239" t="s">
        <v>80</v>
      </c>
      <c r="H239" t="s">
        <v>70</v>
      </c>
      <c r="I239" t="s">
        <v>22</v>
      </c>
      <c r="J239">
        <v>541143.80000000005</v>
      </c>
      <c r="K239" t="s">
        <v>49</v>
      </c>
      <c r="L239" s="10">
        <v>45663</v>
      </c>
      <c r="M239" t="s">
        <v>24</v>
      </c>
      <c r="N239">
        <v>1296566.75</v>
      </c>
      <c r="O239" t="s">
        <v>25</v>
      </c>
      <c r="P239" s="10">
        <v>45658</v>
      </c>
      <c r="Q239">
        <v>541143.80000000005</v>
      </c>
      <c r="R239">
        <v>0</v>
      </c>
      <c r="S239" t="s">
        <v>1098</v>
      </c>
      <c r="T239" t="s">
        <v>1095</v>
      </c>
    </row>
    <row r="240" spans="1:20" x14ac:dyDescent="0.3">
      <c r="A240" t="s">
        <v>566</v>
      </c>
      <c r="B240">
        <v>659251</v>
      </c>
      <c r="C240" t="s">
        <v>567</v>
      </c>
      <c r="D240">
        <v>431187283506</v>
      </c>
      <c r="E240" t="s">
        <v>91</v>
      </c>
      <c r="F240" t="s">
        <v>92</v>
      </c>
      <c r="G240" t="s">
        <v>93</v>
      </c>
      <c r="H240" t="s">
        <v>67</v>
      </c>
      <c r="I240" t="s">
        <v>48</v>
      </c>
      <c r="J240">
        <v>12025.06</v>
      </c>
      <c r="K240" t="s">
        <v>49</v>
      </c>
      <c r="L240" s="10">
        <v>45526</v>
      </c>
      <c r="M240" t="s">
        <v>168</v>
      </c>
      <c r="N240">
        <v>1203807.42</v>
      </c>
      <c r="O240" t="s">
        <v>25</v>
      </c>
      <c r="P240" s="10">
        <v>45505</v>
      </c>
      <c r="Q240">
        <v>12025.06</v>
      </c>
      <c r="R240">
        <v>0</v>
      </c>
      <c r="S240" t="s">
        <v>1098</v>
      </c>
      <c r="T240" t="s">
        <v>1095</v>
      </c>
    </row>
    <row r="241" spans="1:20" x14ac:dyDescent="0.3">
      <c r="A241" t="s">
        <v>568</v>
      </c>
      <c r="B241">
        <v>117469</v>
      </c>
      <c r="C241" t="s">
        <v>569</v>
      </c>
      <c r="D241">
        <v>145388855042</v>
      </c>
      <c r="E241" t="s">
        <v>64</v>
      </c>
      <c r="F241" t="s">
        <v>146</v>
      </c>
      <c r="G241" t="s">
        <v>147</v>
      </c>
      <c r="H241" t="s">
        <v>67</v>
      </c>
      <c r="I241" t="s">
        <v>38</v>
      </c>
      <c r="J241">
        <v>55705.38</v>
      </c>
      <c r="K241" t="s">
        <v>39</v>
      </c>
      <c r="L241" s="10">
        <v>45371</v>
      </c>
      <c r="M241" t="s">
        <v>24</v>
      </c>
      <c r="N241">
        <v>1599051.25</v>
      </c>
      <c r="O241" t="s">
        <v>25</v>
      </c>
      <c r="P241" s="10">
        <v>45352</v>
      </c>
      <c r="Q241">
        <v>-55705.38</v>
      </c>
      <c r="R241">
        <v>0</v>
      </c>
      <c r="S241" t="s">
        <v>1098</v>
      </c>
      <c r="T241" t="s">
        <v>1095</v>
      </c>
    </row>
    <row r="242" spans="1:20" x14ac:dyDescent="0.3">
      <c r="A242" t="s">
        <v>570</v>
      </c>
      <c r="B242">
        <v>725646</v>
      </c>
      <c r="C242" t="s">
        <v>571</v>
      </c>
      <c r="D242">
        <v>509479969038</v>
      </c>
      <c r="E242" t="s">
        <v>28</v>
      </c>
      <c r="F242" t="s">
        <v>29</v>
      </c>
      <c r="G242" t="s">
        <v>30</v>
      </c>
      <c r="H242" t="s">
        <v>70</v>
      </c>
      <c r="I242" t="s">
        <v>48</v>
      </c>
      <c r="J242">
        <v>259407.8</v>
      </c>
      <c r="K242" t="s">
        <v>23</v>
      </c>
      <c r="L242" s="10">
        <v>45556</v>
      </c>
      <c r="M242" t="s">
        <v>24</v>
      </c>
      <c r="N242">
        <v>1568771.1</v>
      </c>
      <c r="O242" t="s">
        <v>25</v>
      </c>
      <c r="P242" s="10">
        <v>45536</v>
      </c>
      <c r="Q242">
        <v>259407.8</v>
      </c>
      <c r="R242">
        <v>0</v>
      </c>
      <c r="S242" t="s">
        <v>1097</v>
      </c>
      <c r="T242" t="s">
        <v>1095</v>
      </c>
    </row>
    <row r="243" spans="1:20" x14ac:dyDescent="0.3">
      <c r="A243" t="s">
        <v>572</v>
      </c>
      <c r="B243">
        <v>404602</v>
      </c>
      <c r="C243" t="s">
        <v>573</v>
      </c>
      <c r="D243">
        <v>580561786132</v>
      </c>
      <c r="E243" t="s">
        <v>64</v>
      </c>
      <c r="F243" t="s">
        <v>83</v>
      </c>
      <c r="G243" t="s">
        <v>84</v>
      </c>
      <c r="H243" t="s">
        <v>21</v>
      </c>
      <c r="I243" t="s">
        <v>53</v>
      </c>
      <c r="J243">
        <v>321922.8</v>
      </c>
      <c r="K243" t="s">
        <v>98</v>
      </c>
      <c r="L243" s="10">
        <v>45776</v>
      </c>
      <c r="M243" t="s">
        <v>24</v>
      </c>
      <c r="N243">
        <v>502408.24</v>
      </c>
      <c r="O243" t="s">
        <v>25</v>
      </c>
      <c r="P243" s="10">
        <v>45748</v>
      </c>
      <c r="Q243">
        <v>321922.8</v>
      </c>
      <c r="R243">
        <v>0</v>
      </c>
      <c r="S243" t="s">
        <v>1098</v>
      </c>
      <c r="T243" t="s">
        <v>1095</v>
      </c>
    </row>
    <row r="244" spans="1:20" x14ac:dyDescent="0.3">
      <c r="A244" t="s">
        <v>574</v>
      </c>
      <c r="B244">
        <v>725385</v>
      </c>
      <c r="C244" t="s">
        <v>575</v>
      </c>
      <c r="D244">
        <v>446588297457</v>
      </c>
      <c r="E244" t="s">
        <v>64</v>
      </c>
      <c r="F244" t="s">
        <v>65</v>
      </c>
      <c r="G244" t="s">
        <v>66</v>
      </c>
      <c r="H244" t="s">
        <v>67</v>
      </c>
      <c r="I244" t="s">
        <v>38</v>
      </c>
      <c r="J244">
        <v>136269.56</v>
      </c>
      <c r="K244" t="s">
        <v>39</v>
      </c>
      <c r="L244" s="10">
        <v>45403</v>
      </c>
      <c r="M244" t="s">
        <v>24</v>
      </c>
      <c r="N244">
        <v>995454.57999999984</v>
      </c>
      <c r="O244" t="s">
        <v>25</v>
      </c>
      <c r="P244" s="10">
        <v>45383</v>
      </c>
      <c r="Q244">
        <v>-136269.56</v>
      </c>
      <c r="R244">
        <v>0</v>
      </c>
      <c r="S244" t="s">
        <v>1098</v>
      </c>
      <c r="T244" t="s">
        <v>1095</v>
      </c>
    </row>
    <row r="245" spans="1:20" x14ac:dyDescent="0.3">
      <c r="A245" t="s">
        <v>576</v>
      </c>
      <c r="B245">
        <v>955961</v>
      </c>
      <c r="C245" t="s">
        <v>577</v>
      </c>
      <c r="D245">
        <v>702633425078</v>
      </c>
      <c r="E245" t="s">
        <v>28</v>
      </c>
      <c r="F245" t="s">
        <v>150</v>
      </c>
      <c r="G245" t="s">
        <v>151</v>
      </c>
      <c r="H245" t="s">
        <v>70</v>
      </c>
      <c r="I245" t="s">
        <v>48</v>
      </c>
      <c r="J245">
        <v>75538.210000000006</v>
      </c>
      <c r="K245" t="s">
        <v>32</v>
      </c>
      <c r="L245" s="10">
        <v>45249</v>
      </c>
      <c r="M245" t="s">
        <v>24</v>
      </c>
      <c r="N245">
        <v>328211.21000000002</v>
      </c>
      <c r="O245" t="s">
        <v>25</v>
      </c>
      <c r="P245" s="10">
        <v>45231</v>
      </c>
      <c r="Q245">
        <v>75538.210000000006</v>
      </c>
      <c r="R245">
        <v>0</v>
      </c>
      <c r="S245" t="s">
        <v>1098</v>
      </c>
      <c r="T245" t="s">
        <v>1095</v>
      </c>
    </row>
    <row r="246" spans="1:20" x14ac:dyDescent="0.3">
      <c r="A246" t="s">
        <v>578</v>
      </c>
      <c r="B246">
        <v>842640</v>
      </c>
      <c r="C246" t="s">
        <v>579</v>
      </c>
      <c r="D246">
        <v>380872047716</v>
      </c>
      <c r="E246" t="s">
        <v>28</v>
      </c>
      <c r="F246" t="s">
        <v>29</v>
      </c>
      <c r="G246" t="s">
        <v>30</v>
      </c>
      <c r="H246" t="s">
        <v>21</v>
      </c>
      <c r="I246" t="s">
        <v>48</v>
      </c>
      <c r="J246">
        <v>153277.59</v>
      </c>
      <c r="K246" t="s">
        <v>23</v>
      </c>
      <c r="L246" s="10">
        <v>45744</v>
      </c>
      <c r="M246" t="s">
        <v>50</v>
      </c>
      <c r="N246">
        <v>1216224.52</v>
      </c>
      <c r="O246" t="s">
        <v>25</v>
      </c>
      <c r="P246" s="10">
        <v>45717</v>
      </c>
      <c r="Q246">
        <v>153277.59</v>
      </c>
      <c r="R246">
        <v>0</v>
      </c>
      <c r="S246" t="s">
        <v>1097</v>
      </c>
      <c r="T246" t="s">
        <v>1095</v>
      </c>
    </row>
    <row r="247" spans="1:20" x14ac:dyDescent="0.3">
      <c r="A247" t="s">
        <v>580</v>
      </c>
      <c r="B247">
        <v>658891</v>
      </c>
      <c r="C247" t="s">
        <v>581</v>
      </c>
      <c r="D247">
        <v>714751372463</v>
      </c>
      <c r="E247" t="s">
        <v>35</v>
      </c>
      <c r="F247" t="s">
        <v>73</v>
      </c>
      <c r="G247" t="s">
        <v>74</v>
      </c>
      <c r="H247" t="s">
        <v>31</v>
      </c>
      <c r="I247" t="s">
        <v>22</v>
      </c>
      <c r="J247">
        <v>218521.3</v>
      </c>
      <c r="K247" t="s">
        <v>32</v>
      </c>
      <c r="L247" s="10">
        <v>45795</v>
      </c>
      <c r="M247" t="s">
        <v>24</v>
      </c>
      <c r="N247">
        <v>963128.35000000009</v>
      </c>
      <c r="O247" t="s">
        <v>25</v>
      </c>
      <c r="P247" s="10">
        <v>45778</v>
      </c>
      <c r="Q247">
        <v>218521.3</v>
      </c>
      <c r="R247">
        <v>0</v>
      </c>
      <c r="S247" t="s">
        <v>1098</v>
      </c>
      <c r="T247" t="s">
        <v>1095</v>
      </c>
    </row>
    <row r="248" spans="1:20" x14ac:dyDescent="0.3">
      <c r="A248" t="s">
        <v>582</v>
      </c>
      <c r="B248">
        <v>760603</v>
      </c>
      <c r="C248" t="s">
        <v>583</v>
      </c>
      <c r="D248">
        <v>138839456678</v>
      </c>
      <c r="E248" t="s">
        <v>35</v>
      </c>
      <c r="F248" t="s">
        <v>60</v>
      </c>
      <c r="G248" t="s">
        <v>61</v>
      </c>
      <c r="H248" t="s">
        <v>70</v>
      </c>
      <c r="I248" t="s">
        <v>48</v>
      </c>
      <c r="J248">
        <v>217272.91</v>
      </c>
      <c r="K248" t="s">
        <v>98</v>
      </c>
      <c r="L248" s="10">
        <v>45609</v>
      </c>
      <c r="M248" t="s">
        <v>24</v>
      </c>
      <c r="N248">
        <v>2206115.66</v>
      </c>
      <c r="O248" t="s">
        <v>25</v>
      </c>
      <c r="P248" s="10">
        <v>45597</v>
      </c>
      <c r="Q248">
        <v>217272.91</v>
      </c>
      <c r="R248">
        <v>0</v>
      </c>
      <c r="S248" t="s">
        <v>1098</v>
      </c>
      <c r="T248" t="s">
        <v>1095</v>
      </c>
    </row>
    <row r="249" spans="1:20" x14ac:dyDescent="0.3">
      <c r="A249" t="s">
        <v>584</v>
      </c>
      <c r="B249">
        <v>433063</v>
      </c>
      <c r="C249" t="s">
        <v>585</v>
      </c>
      <c r="D249">
        <v>288046549982</v>
      </c>
      <c r="E249" t="s">
        <v>64</v>
      </c>
      <c r="F249" t="s">
        <v>177</v>
      </c>
      <c r="G249" t="s">
        <v>178</v>
      </c>
      <c r="H249" t="s">
        <v>67</v>
      </c>
      <c r="I249" t="s">
        <v>22</v>
      </c>
      <c r="J249">
        <v>143368.07999999999</v>
      </c>
      <c r="K249" t="s">
        <v>49</v>
      </c>
      <c r="L249" s="10">
        <v>45170</v>
      </c>
      <c r="M249" t="s">
        <v>24</v>
      </c>
      <c r="N249">
        <v>1521366.68</v>
      </c>
      <c r="O249" t="s">
        <v>25</v>
      </c>
      <c r="P249" s="10">
        <v>45170</v>
      </c>
      <c r="Q249">
        <v>143368.07999999999</v>
      </c>
      <c r="R249">
        <v>0</v>
      </c>
      <c r="S249" t="s">
        <v>1098</v>
      </c>
      <c r="T249" t="s">
        <v>1095</v>
      </c>
    </row>
    <row r="250" spans="1:20" x14ac:dyDescent="0.3">
      <c r="A250" t="s">
        <v>586</v>
      </c>
      <c r="B250">
        <v>672763</v>
      </c>
      <c r="C250" t="s">
        <v>587</v>
      </c>
      <c r="D250">
        <v>387905519517</v>
      </c>
      <c r="E250" t="s">
        <v>64</v>
      </c>
      <c r="F250" t="s">
        <v>166</v>
      </c>
      <c r="G250" t="s">
        <v>167</v>
      </c>
      <c r="H250" t="s">
        <v>21</v>
      </c>
      <c r="I250" t="s">
        <v>38</v>
      </c>
      <c r="J250">
        <v>130031.31</v>
      </c>
      <c r="K250" t="s">
        <v>23</v>
      </c>
      <c r="L250" s="10">
        <v>45619</v>
      </c>
      <c r="M250" t="s">
        <v>24</v>
      </c>
      <c r="N250">
        <v>429077.61</v>
      </c>
      <c r="O250" t="s">
        <v>25</v>
      </c>
      <c r="P250" s="10">
        <v>45597</v>
      </c>
      <c r="Q250">
        <v>-130031.31</v>
      </c>
      <c r="R250">
        <v>0</v>
      </c>
      <c r="S250" t="s">
        <v>1097</v>
      </c>
      <c r="T250" t="s">
        <v>1095</v>
      </c>
    </row>
    <row r="251" spans="1:20" x14ac:dyDescent="0.3">
      <c r="A251" t="s">
        <v>588</v>
      </c>
      <c r="B251">
        <v>833709</v>
      </c>
      <c r="C251" t="s">
        <v>589</v>
      </c>
      <c r="D251">
        <v>195214730525</v>
      </c>
      <c r="E251" t="s">
        <v>35</v>
      </c>
      <c r="F251" t="s">
        <v>73</v>
      </c>
      <c r="G251" t="s">
        <v>74</v>
      </c>
      <c r="H251" t="s">
        <v>21</v>
      </c>
      <c r="I251" t="s">
        <v>22</v>
      </c>
      <c r="J251">
        <v>376737.14</v>
      </c>
      <c r="K251" t="s">
        <v>49</v>
      </c>
      <c r="L251" s="10">
        <v>45560</v>
      </c>
      <c r="M251" t="s">
        <v>24</v>
      </c>
      <c r="N251">
        <v>2046300.22</v>
      </c>
      <c r="O251" t="s">
        <v>25</v>
      </c>
      <c r="P251" s="10">
        <v>45536</v>
      </c>
      <c r="Q251">
        <v>376737.14</v>
      </c>
      <c r="R251">
        <v>0</v>
      </c>
      <c r="S251" t="s">
        <v>1098</v>
      </c>
      <c r="T251" t="s">
        <v>1095</v>
      </c>
    </row>
    <row r="252" spans="1:20" x14ac:dyDescent="0.3">
      <c r="A252" t="s">
        <v>590</v>
      </c>
      <c r="B252">
        <v>730030</v>
      </c>
      <c r="C252" t="s">
        <v>591</v>
      </c>
      <c r="D252">
        <v>937325765058</v>
      </c>
      <c r="E252" t="s">
        <v>35</v>
      </c>
      <c r="F252" t="s">
        <v>60</v>
      </c>
      <c r="G252" t="s">
        <v>61</v>
      </c>
      <c r="H252" t="s">
        <v>31</v>
      </c>
      <c r="I252" t="s">
        <v>48</v>
      </c>
      <c r="J252">
        <v>32866.42</v>
      </c>
      <c r="K252" t="s">
        <v>98</v>
      </c>
      <c r="L252" s="10">
        <v>45481</v>
      </c>
      <c r="M252" t="s">
        <v>24</v>
      </c>
      <c r="N252">
        <v>1682102.9</v>
      </c>
      <c r="O252" t="s">
        <v>25</v>
      </c>
      <c r="P252" s="10">
        <v>45474</v>
      </c>
      <c r="Q252">
        <v>32866.42</v>
      </c>
      <c r="R252">
        <v>0</v>
      </c>
      <c r="S252" t="s">
        <v>1098</v>
      </c>
      <c r="T252" t="s">
        <v>1095</v>
      </c>
    </row>
    <row r="253" spans="1:20" x14ac:dyDescent="0.3">
      <c r="A253" t="s">
        <v>592</v>
      </c>
      <c r="B253">
        <v>973241</v>
      </c>
      <c r="C253" t="s">
        <v>593</v>
      </c>
      <c r="D253">
        <v>387860643996</v>
      </c>
      <c r="E253" t="s">
        <v>18</v>
      </c>
      <c r="F253" t="s">
        <v>19</v>
      </c>
      <c r="G253" t="s">
        <v>20</v>
      </c>
      <c r="H253" t="s">
        <v>21</v>
      </c>
      <c r="I253" t="s">
        <v>38</v>
      </c>
      <c r="J253">
        <v>7697.03</v>
      </c>
      <c r="K253" t="s">
        <v>49</v>
      </c>
      <c r="L253" s="10">
        <v>45414</v>
      </c>
      <c r="M253" t="s">
        <v>24</v>
      </c>
      <c r="N253">
        <v>1549364.71</v>
      </c>
      <c r="O253" t="s">
        <v>25</v>
      </c>
      <c r="P253" s="10">
        <v>45413</v>
      </c>
      <c r="Q253">
        <v>-7697.03</v>
      </c>
      <c r="R253">
        <v>0</v>
      </c>
      <c r="S253" t="s">
        <v>1098</v>
      </c>
      <c r="T253" t="s">
        <v>1095</v>
      </c>
    </row>
    <row r="254" spans="1:20" x14ac:dyDescent="0.3">
      <c r="A254" t="s">
        <v>594</v>
      </c>
      <c r="B254">
        <v>700274</v>
      </c>
      <c r="C254" t="s">
        <v>595</v>
      </c>
      <c r="D254">
        <v>780371569610</v>
      </c>
      <c r="E254" t="s">
        <v>18</v>
      </c>
      <c r="F254" t="s">
        <v>19</v>
      </c>
      <c r="G254" t="s">
        <v>20</v>
      </c>
      <c r="H254" t="s">
        <v>70</v>
      </c>
      <c r="I254" t="s">
        <v>38</v>
      </c>
      <c r="J254">
        <v>131363.76999999999</v>
      </c>
      <c r="K254" t="s">
        <v>23</v>
      </c>
      <c r="L254" s="10">
        <v>45118</v>
      </c>
      <c r="M254" t="s">
        <v>50</v>
      </c>
      <c r="N254">
        <v>1790482.77</v>
      </c>
      <c r="O254" t="s">
        <v>25</v>
      </c>
      <c r="P254" s="10">
        <v>45108</v>
      </c>
      <c r="Q254">
        <v>-131363.76999999999</v>
      </c>
      <c r="R254">
        <v>0</v>
      </c>
      <c r="S254" t="s">
        <v>1097</v>
      </c>
      <c r="T254" t="s">
        <v>1095</v>
      </c>
    </row>
    <row r="255" spans="1:20" x14ac:dyDescent="0.3">
      <c r="A255" t="s">
        <v>596</v>
      </c>
      <c r="B255">
        <v>585434</v>
      </c>
      <c r="C255" t="s">
        <v>597</v>
      </c>
      <c r="D255">
        <v>422791292913</v>
      </c>
      <c r="E255" t="s">
        <v>91</v>
      </c>
      <c r="F255" t="s">
        <v>109</v>
      </c>
      <c r="G255" t="s">
        <v>110</v>
      </c>
      <c r="H255" t="s">
        <v>70</v>
      </c>
      <c r="I255" t="s">
        <v>48</v>
      </c>
      <c r="J255">
        <v>197351.19</v>
      </c>
      <c r="K255" t="s">
        <v>23</v>
      </c>
      <c r="L255" s="10">
        <v>45413</v>
      </c>
      <c r="M255" t="s">
        <v>24</v>
      </c>
      <c r="N255">
        <v>735561.71</v>
      </c>
      <c r="O255" t="s">
        <v>25</v>
      </c>
      <c r="P255" s="10">
        <v>45413</v>
      </c>
      <c r="Q255">
        <v>197351.19</v>
      </c>
      <c r="R255">
        <v>0</v>
      </c>
      <c r="S255" t="s">
        <v>1097</v>
      </c>
      <c r="T255" t="s">
        <v>1095</v>
      </c>
    </row>
    <row r="256" spans="1:20" x14ac:dyDescent="0.3">
      <c r="A256" t="s">
        <v>598</v>
      </c>
      <c r="B256">
        <v>709387</v>
      </c>
      <c r="C256" t="s">
        <v>599</v>
      </c>
      <c r="D256">
        <v>685617653836</v>
      </c>
      <c r="E256" t="s">
        <v>18</v>
      </c>
      <c r="F256" t="s">
        <v>19</v>
      </c>
      <c r="G256" t="s">
        <v>20</v>
      </c>
      <c r="H256" t="s">
        <v>21</v>
      </c>
      <c r="I256" t="s">
        <v>38</v>
      </c>
      <c r="J256">
        <v>116639.17</v>
      </c>
      <c r="K256" t="s">
        <v>49</v>
      </c>
      <c r="L256" s="10">
        <v>45416</v>
      </c>
      <c r="M256" t="s">
        <v>24</v>
      </c>
      <c r="N256">
        <v>583495.13</v>
      </c>
      <c r="O256" t="s">
        <v>25</v>
      </c>
      <c r="P256" s="10">
        <v>45413</v>
      </c>
      <c r="Q256">
        <v>-116639.17</v>
      </c>
      <c r="R256">
        <v>0</v>
      </c>
      <c r="S256" t="s">
        <v>1098</v>
      </c>
      <c r="T256" t="s">
        <v>1095</v>
      </c>
    </row>
    <row r="257" spans="1:20" x14ac:dyDescent="0.3">
      <c r="A257" t="s">
        <v>600</v>
      </c>
      <c r="B257">
        <v>545452</v>
      </c>
      <c r="C257" t="s">
        <v>601</v>
      </c>
      <c r="D257">
        <v>869888869752</v>
      </c>
      <c r="E257" t="s">
        <v>35</v>
      </c>
      <c r="F257" t="s">
        <v>136</v>
      </c>
      <c r="G257" t="s">
        <v>137</v>
      </c>
      <c r="H257" t="s">
        <v>21</v>
      </c>
      <c r="I257" t="s">
        <v>48</v>
      </c>
      <c r="J257">
        <v>79661.36</v>
      </c>
      <c r="K257" t="s">
        <v>23</v>
      </c>
      <c r="L257" s="10">
        <v>45577</v>
      </c>
      <c r="M257" t="s">
        <v>24</v>
      </c>
      <c r="N257">
        <v>810409.84</v>
      </c>
      <c r="O257" t="s">
        <v>25</v>
      </c>
      <c r="P257" s="10">
        <v>45566</v>
      </c>
      <c r="Q257">
        <v>79661.36</v>
      </c>
      <c r="R257">
        <v>0</v>
      </c>
      <c r="S257" t="s">
        <v>1097</v>
      </c>
      <c r="T257" t="s">
        <v>1095</v>
      </c>
    </row>
    <row r="258" spans="1:20" x14ac:dyDescent="0.3">
      <c r="A258" t="s">
        <v>602</v>
      </c>
      <c r="B258">
        <v>809306</v>
      </c>
      <c r="C258" t="s">
        <v>603</v>
      </c>
      <c r="D258">
        <v>317906843145</v>
      </c>
      <c r="E258" t="s">
        <v>35</v>
      </c>
      <c r="F258" t="s">
        <v>42</v>
      </c>
      <c r="G258" t="s">
        <v>43</v>
      </c>
      <c r="H258" t="s">
        <v>67</v>
      </c>
      <c r="I258" t="s">
        <v>38</v>
      </c>
      <c r="J258">
        <v>75168.06</v>
      </c>
      <c r="K258" t="s">
        <v>49</v>
      </c>
      <c r="L258" s="10">
        <v>45551</v>
      </c>
      <c r="M258" t="s">
        <v>24</v>
      </c>
      <c r="N258">
        <v>45789.930000000008</v>
      </c>
      <c r="O258" t="s">
        <v>25</v>
      </c>
      <c r="P258" s="10">
        <v>45536</v>
      </c>
      <c r="Q258">
        <v>-75168.06</v>
      </c>
      <c r="R258">
        <v>0</v>
      </c>
      <c r="S258" t="s">
        <v>1098</v>
      </c>
      <c r="T258" t="s">
        <v>1095</v>
      </c>
    </row>
    <row r="259" spans="1:20" x14ac:dyDescent="0.3">
      <c r="A259" t="s">
        <v>604</v>
      </c>
      <c r="B259">
        <v>411009</v>
      </c>
      <c r="C259" t="s">
        <v>605</v>
      </c>
      <c r="D259">
        <v>746074720789</v>
      </c>
      <c r="E259" t="s">
        <v>64</v>
      </c>
      <c r="F259" t="s">
        <v>177</v>
      </c>
      <c r="G259" t="s">
        <v>178</v>
      </c>
      <c r="H259" t="s">
        <v>31</v>
      </c>
      <c r="I259" t="s">
        <v>48</v>
      </c>
      <c r="J259">
        <v>129733.4</v>
      </c>
      <c r="K259" t="s">
        <v>32</v>
      </c>
      <c r="L259" s="10">
        <v>45252</v>
      </c>
      <c r="M259" t="s">
        <v>24</v>
      </c>
      <c r="N259">
        <v>872645.98</v>
      </c>
      <c r="O259" t="s">
        <v>25</v>
      </c>
      <c r="P259" s="10">
        <v>45231</v>
      </c>
      <c r="Q259">
        <v>129733.4</v>
      </c>
      <c r="R259">
        <v>0</v>
      </c>
      <c r="S259" t="s">
        <v>1098</v>
      </c>
      <c r="T259" t="s">
        <v>1095</v>
      </c>
    </row>
    <row r="260" spans="1:20" x14ac:dyDescent="0.3">
      <c r="A260" t="s">
        <v>606</v>
      </c>
      <c r="B260">
        <v>704096</v>
      </c>
      <c r="C260" t="s">
        <v>607</v>
      </c>
      <c r="D260">
        <v>801626913319</v>
      </c>
      <c r="E260" t="s">
        <v>91</v>
      </c>
      <c r="F260" t="s">
        <v>105</v>
      </c>
      <c r="G260" t="s">
        <v>106</v>
      </c>
      <c r="H260" t="s">
        <v>70</v>
      </c>
      <c r="I260" t="s">
        <v>53</v>
      </c>
      <c r="J260">
        <v>59283.4</v>
      </c>
      <c r="K260" t="s">
        <v>98</v>
      </c>
      <c r="L260" s="10">
        <v>45602</v>
      </c>
      <c r="M260" t="s">
        <v>24</v>
      </c>
      <c r="N260">
        <v>698051.12</v>
      </c>
      <c r="O260" t="s">
        <v>25</v>
      </c>
      <c r="P260" s="10">
        <v>45597</v>
      </c>
      <c r="Q260">
        <v>59283.4</v>
      </c>
      <c r="R260">
        <v>0</v>
      </c>
      <c r="S260" t="s">
        <v>1098</v>
      </c>
      <c r="T260" t="s">
        <v>1095</v>
      </c>
    </row>
    <row r="261" spans="1:20" x14ac:dyDescent="0.3">
      <c r="A261" t="s">
        <v>608</v>
      </c>
      <c r="B261">
        <v>430975</v>
      </c>
      <c r="C261" t="s">
        <v>609</v>
      </c>
      <c r="D261">
        <v>552928908176</v>
      </c>
      <c r="E261" t="s">
        <v>35</v>
      </c>
      <c r="F261" t="s">
        <v>36</v>
      </c>
      <c r="G261" t="s">
        <v>37</v>
      </c>
      <c r="H261" t="s">
        <v>67</v>
      </c>
      <c r="I261" t="s">
        <v>48</v>
      </c>
      <c r="J261">
        <v>157373.9</v>
      </c>
      <c r="K261" t="s">
        <v>98</v>
      </c>
      <c r="L261" s="10">
        <v>45240</v>
      </c>
      <c r="M261" t="s">
        <v>168</v>
      </c>
      <c r="N261">
        <v>519917.55</v>
      </c>
      <c r="O261" t="s">
        <v>25</v>
      </c>
      <c r="P261" s="10">
        <v>45231</v>
      </c>
      <c r="Q261">
        <v>157373.9</v>
      </c>
      <c r="R261">
        <v>0</v>
      </c>
      <c r="S261" t="s">
        <v>1098</v>
      </c>
      <c r="T261" t="s">
        <v>1095</v>
      </c>
    </row>
    <row r="262" spans="1:20" x14ac:dyDescent="0.3">
      <c r="A262" t="s">
        <v>610</v>
      </c>
      <c r="B262">
        <v>675778</v>
      </c>
      <c r="C262" t="s">
        <v>611</v>
      </c>
      <c r="D262">
        <v>825799561602</v>
      </c>
      <c r="E262" t="s">
        <v>35</v>
      </c>
      <c r="F262" t="s">
        <v>42</v>
      </c>
      <c r="G262" t="s">
        <v>43</v>
      </c>
      <c r="H262" t="s">
        <v>70</v>
      </c>
      <c r="I262" t="s">
        <v>53</v>
      </c>
      <c r="J262">
        <v>395398.6</v>
      </c>
      <c r="K262" t="s">
        <v>49</v>
      </c>
      <c r="L262" s="10">
        <v>45214</v>
      </c>
      <c r="M262" t="s">
        <v>24</v>
      </c>
      <c r="N262">
        <v>1093605.24</v>
      </c>
      <c r="O262" t="s">
        <v>25</v>
      </c>
      <c r="P262" s="10">
        <v>45200</v>
      </c>
      <c r="Q262">
        <v>395398.6</v>
      </c>
      <c r="R262">
        <v>0</v>
      </c>
      <c r="S262" t="s">
        <v>1098</v>
      </c>
      <c r="T262" t="s">
        <v>1095</v>
      </c>
    </row>
    <row r="263" spans="1:20" x14ac:dyDescent="0.3">
      <c r="A263" t="s">
        <v>612</v>
      </c>
      <c r="B263">
        <v>103977</v>
      </c>
      <c r="C263" t="s">
        <v>613</v>
      </c>
      <c r="D263">
        <v>355613348806</v>
      </c>
      <c r="E263" t="s">
        <v>91</v>
      </c>
      <c r="F263" t="s">
        <v>92</v>
      </c>
      <c r="G263" t="s">
        <v>93</v>
      </c>
      <c r="H263" t="s">
        <v>70</v>
      </c>
      <c r="I263" t="s">
        <v>48</v>
      </c>
      <c r="J263">
        <v>92274.06</v>
      </c>
      <c r="K263" t="s">
        <v>39</v>
      </c>
      <c r="L263" s="10">
        <v>45666</v>
      </c>
      <c r="M263" t="s">
        <v>24</v>
      </c>
      <c r="N263">
        <v>1309267.04</v>
      </c>
      <c r="O263" t="s">
        <v>25</v>
      </c>
      <c r="P263" s="10">
        <v>45658</v>
      </c>
      <c r="Q263">
        <v>92274.06</v>
      </c>
      <c r="R263">
        <v>0</v>
      </c>
      <c r="S263" t="s">
        <v>1098</v>
      </c>
      <c r="T263" t="s">
        <v>1095</v>
      </c>
    </row>
    <row r="264" spans="1:20" x14ac:dyDescent="0.3">
      <c r="A264" t="s">
        <v>614</v>
      </c>
      <c r="B264">
        <v>749572</v>
      </c>
      <c r="C264" t="s">
        <v>615</v>
      </c>
      <c r="D264">
        <v>206600196087</v>
      </c>
      <c r="E264" t="s">
        <v>64</v>
      </c>
      <c r="F264" t="s">
        <v>83</v>
      </c>
      <c r="G264" t="s">
        <v>84</v>
      </c>
      <c r="H264" t="s">
        <v>70</v>
      </c>
      <c r="I264" t="s">
        <v>53</v>
      </c>
      <c r="J264">
        <v>199776.68</v>
      </c>
      <c r="K264" t="s">
        <v>23</v>
      </c>
      <c r="L264" s="10">
        <v>45240</v>
      </c>
      <c r="M264" t="s">
        <v>24</v>
      </c>
      <c r="N264">
        <v>1633607.23</v>
      </c>
      <c r="O264" t="s">
        <v>25</v>
      </c>
      <c r="P264" s="10">
        <v>45231</v>
      </c>
      <c r="Q264">
        <v>199776.68</v>
      </c>
      <c r="R264">
        <v>0</v>
      </c>
      <c r="S264" t="s">
        <v>1097</v>
      </c>
      <c r="T264" t="s">
        <v>1095</v>
      </c>
    </row>
    <row r="265" spans="1:20" x14ac:dyDescent="0.3">
      <c r="A265" t="s">
        <v>616</v>
      </c>
      <c r="B265">
        <v>563828</v>
      </c>
      <c r="C265" t="s">
        <v>617</v>
      </c>
      <c r="D265">
        <v>124054946791</v>
      </c>
      <c r="E265" t="s">
        <v>18</v>
      </c>
      <c r="F265" t="s">
        <v>46</v>
      </c>
      <c r="G265" t="s">
        <v>47</v>
      </c>
      <c r="H265" t="s">
        <v>67</v>
      </c>
      <c r="I265" t="s">
        <v>48</v>
      </c>
      <c r="J265">
        <v>284384.93</v>
      </c>
      <c r="K265" t="s">
        <v>98</v>
      </c>
      <c r="L265" s="10">
        <v>45362</v>
      </c>
      <c r="M265" t="s">
        <v>24</v>
      </c>
      <c r="N265">
        <v>840176.1399999999</v>
      </c>
      <c r="O265" t="s">
        <v>25</v>
      </c>
      <c r="P265" s="10">
        <v>45352</v>
      </c>
      <c r="Q265">
        <v>284384.93</v>
      </c>
      <c r="R265">
        <v>0</v>
      </c>
      <c r="S265" t="s">
        <v>1098</v>
      </c>
      <c r="T265" t="s">
        <v>1095</v>
      </c>
    </row>
    <row r="266" spans="1:20" x14ac:dyDescent="0.3">
      <c r="A266" t="s">
        <v>618</v>
      </c>
      <c r="B266">
        <v>731100</v>
      </c>
      <c r="C266" t="s">
        <v>619</v>
      </c>
      <c r="D266">
        <v>262964581056</v>
      </c>
      <c r="E266" t="s">
        <v>35</v>
      </c>
      <c r="F266" t="s">
        <v>36</v>
      </c>
      <c r="G266" t="s">
        <v>37</v>
      </c>
      <c r="H266" t="s">
        <v>21</v>
      </c>
      <c r="I266" t="s">
        <v>48</v>
      </c>
      <c r="J266">
        <v>98228.26</v>
      </c>
      <c r="K266" t="s">
        <v>39</v>
      </c>
      <c r="L266" s="10">
        <v>45327</v>
      </c>
      <c r="M266" t="s">
        <v>24</v>
      </c>
      <c r="N266">
        <v>642282.19999999995</v>
      </c>
      <c r="O266" t="s">
        <v>25</v>
      </c>
      <c r="P266" s="10">
        <v>45323</v>
      </c>
      <c r="Q266">
        <v>98228.26</v>
      </c>
      <c r="R266">
        <v>0</v>
      </c>
      <c r="S266" t="s">
        <v>1098</v>
      </c>
      <c r="T266" t="s">
        <v>1095</v>
      </c>
    </row>
    <row r="267" spans="1:20" x14ac:dyDescent="0.3">
      <c r="A267" t="s">
        <v>620</v>
      </c>
      <c r="B267">
        <v>156081</v>
      </c>
      <c r="C267" t="s">
        <v>621</v>
      </c>
      <c r="D267">
        <v>211489234529</v>
      </c>
      <c r="E267" t="s">
        <v>28</v>
      </c>
      <c r="F267" t="s">
        <v>192</v>
      </c>
      <c r="G267" t="s">
        <v>193</v>
      </c>
      <c r="H267" t="s">
        <v>31</v>
      </c>
      <c r="I267" t="s">
        <v>38</v>
      </c>
      <c r="J267">
        <v>115176.64</v>
      </c>
      <c r="K267" t="s">
        <v>32</v>
      </c>
      <c r="L267" s="10">
        <v>45139</v>
      </c>
      <c r="M267" t="s">
        <v>113</v>
      </c>
      <c r="N267">
        <v>1728716.25</v>
      </c>
      <c r="O267" t="s">
        <v>25</v>
      </c>
      <c r="P267" s="10">
        <v>45139</v>
      </c>
      <c r="Q267">
        <v>-115176.64</v>
      </c>
      <c r="R267">
        <v>0</v>
      </c>
      <c r="S267" t="s">
        <v>1098</v>
      </c>
      <c r="T267" t="s">
        <v>1095</v>
      </c>
    </row>
    <row r="268" spans="1:20" x14ac:dyDescent="0.3">
      <c r="A268" t="s">
        <v>622</v>
      </c>
      <c r="B268">
        <v>776252</v>
      </c>
      <c r="C268" t="s">
        <v>623</v>
      </c>
      <c r="D268">
        <v>524989289739</v>
      </c>
      <c r="E268" t="s">
        <v>64</v>
      </c>
      <c r="F268" t="s">
        <v>146</v>
      </c>
      <c r="G268" t="s">
        <v>147</v>
      </c>
      <c r="H268" t="s">
        <v>70</v>
      </c>
      <c r="I268" t="s">
        <v>53</v>
      </c>
      <c r="J268">
        <v>466320.11</v>
      </c>
      <c r="K268" t="s">
        <v>23</v>
      </c>
      <c r="L268" s="10">
        <v>45646</v>
      </c>
      <c r="M268" t="s">
        <v>113</v>
      </c>
      <c r="N268">
        <v>1960336.41</v>
      </c>
      <c r="O268" t="s">
        <v>25</v>
      </c>
      <c r="P268" s="10">
        <v>45627</v>
      </c>
      <c r="Q268">
        <v>466320.11</v>
      </c>
      <c r="R268">
        <v>0</v>
      </c>
      <c r="S268" t="s">
        <v>1097</v>
      </c>
      <c r="T268" t="s">
        <v>1095</v>
      </c>
    </row>
    <row r="269" spans="1:20" x14ac:dyDescent="0.3">
      <c r="A269" t="s">
        <v>624</v>
      </c>
      <c r="B269">
        <v>139106</v>
      </c>
      <c r="C269" t="s">
        <v>625</v>
      </c>
      <c r="D269">
        <v>475832206582</v>
      </c>
      <c r="E269" t="s">
        <v>18</v>
      </c>
      <c r="F269" t="s">
        <v>46</v>
      </c>
      <c r="G269" t="s">
        <v>47</v>
      </c>
      <c r="H269" t="s">
        <v>67</v>
      </c>
      <c r="I269" t="s">
        <v>48</v>
      </c>
      <c r="J269">
        <v>200163.67</v>
      </c>
      <c r="K269" t="s">
        <v>98</v>
      </c>
      <c r="L269" s="10">
        <v>45222</v>
      </c>
      <c r="M269" t="s">
        <v>168</v>
      </c>
      <c r="N269">
        <v>415663.7</v>
      </c>
      <c r="O269" t="s">
        <v>25</v>
      </c>
      <c r="P269" s="10">
        <v>45200</v>
      </c>
      <c r="Q269">
        <v>200163.67</v>
      </c>
      <c r="R269">
        <v>0</v>
      </c>
      <c r="S269" t="s">
        <v>1098</v>
      </c>
      <c r="T269" t="s">
        <v>1095</v>
      </c>
    </row>
    <row r="270" spans="1:20" x14ac:dyDescent="0.3">
      <c r="A270" t="s">
        <v>626</v>
      </c>
      <c r="B270">
        <v>694119</v>
      </c>
      <c r="C270" t="s">
        <v>627</v>
      </c>
      <c r="D270">
        <v>751228513253</v>
      </c>
      <c r="E270" t="s">
        <v>64</v>
      </c>
      <c r="F270" t="s">
        <v>166</v>
      </c>
      <c r="G270" t="s">
        <v>167</v>
      </c>
      <c r="H270" t="s">
        <v>31</v>
      </c>
      <c r="I270" t="s">
        <v>48</v>
      </c>
      <c r="J270">
        <v>227121.19</v>
      </c>
      <c r="K270" t="s">
        <v>32</v>
      </c>
      <c r="L270" s="10">
        <v>45792</v>
      </c>
      <c r="M270" t="s">
        <v>24</v>
      </c>
      <c r="N270">
        <v>1348492.26</v>
      </c>
      <c r="O270" t="s">
        <v>25</v>
      </c>
      <c r="P270" s="10">
        <v>45778</v>
      </c>
      <c r="Q270">
        <v>227121.19</v>
      </c>
      <c r="R270">
        <v>0</v>
      </c>
      <c r="S270" t="s">
        <v>1098</v>
      </c>
      <c r="T270" t="s">
        <v>1095</v>
      </c>
    </row>
    <row r="271" spans="1:20" x14ac:dyDescent="0.3">
      <c r="A271" t="s">
        <v>628</v>
      </c>
      <c r="B271">
        <v>523970</v>
      </c>
      <c r="C271" t="s">
        <v>629</v>
      </c>
      <c r="D271">
        <v>152931021324</v>
      </c>
      <c r="E271" t="s">
        <v>18</v>
      </c>
      <c r="F271" t="s">
        <v>19</v>
      </c>
      <c r="G271" t="s">
        <v>20</v>
      </c>
      <c r="H271" t="s">
        <v>67</v>
      </c>
      <c r="I271" t="s">
        <v>53</v>
      </c>
      <c r="J271">
        <v>369861.85</v>
      </c>
      <c r="K271" t="s">
        <v>23</v>
      </c>
      <c r="L271" s="10">
        <v>45295</v>
      </c>
      <c r="M271" t="s">
        <v>50</v>
      </c>
      <c r="N271">
        <v>1630300.12</v>
      </c>
      <c r="O271" t="s">
        <v>25</v>
      </c>
      <c r="P271" s="10">
        <v>45292</v>
      </c>
      <c r="Q271">
        <v>369861.85</v>
      </c>
      <c r="R271">
        <v>0</v>
      </c>
      <c r="S271" t="s">
        <v>1097</v>
      </c>
      <c r="T271" t="s">
        <v>1095</v>
      </c>
    </row>
    <row r="272" spans="1:20" x14ac:dyDescent="0.3">
      <c r="A272" t="s">
        <v>630</v>
      </c>
      <c r="B272">
        <v>962182</v>
      </c>
      <c r="C272" t="s">
        <v>631</v>
      </c>
      <c r="D272">
        <v>943603317916</v>
      </c>
      <c r="E272" t="s">
        <v>18</v>
      </c>
      <c r="F272" t="s">
        <v>46</v>
      </c>
      <c r="G272" t="s">
        <v>47</v>
      </c>
      <c r="H272" t="s">
        <v>70</v>
      </c>
      <c r="I272" t="s">
        <v>22</v>
      </c>
      <c r="J272">
        <v>381535.21</v>
      </c>
      <c r="K272" t="s">
        <v>32</v>
      </c>
      <c r="L272" s="10">
        <v>45698</v>
      </c>
      <c r="M272" t="s">
        <v>24</v>
      </c>
      <c r="N272">
        <v>1014653.83</v>
      </c>
      <c r="O272" t="s">
        <v>25</v>
      </c>
      <c r="P272" s="10">
        <v>45689</v>
      </c>
      <c r="Q272">
        <v>381535.21</v>
      </c>
      <c r="R272">
        <v>0</v>
      </c>
      <c r="S272" t="s">
        <v>1098</v>
      </c>
      <c r="T272" t="s">
        <v>1095</v>
      </c>
    </row>
    <row r="273" spans="1:20" x14ac:dyDescent="0.3">
      <c r="A273" t="s">
        <v>632</v>
      </c>
      <c r="B273">
        <v>780928</v>
      </c>
      <c r="C273" t="s">
        <v>633</v>
      </c>
      <c r="D273">
        <v>491219042136</v>
      </c>
      <c r="E273" t="s">
        <v>35</v>
      </c>
      <c r="F273" t="s">
        <v>60</v>
      </c>
      <c r="G273" t="s">
        <v>61</v>
      </c>
      <c r="H273" t="s">
        <v>70</v>
      </c>
      <c r="I273" t="s">
        <v>38</v>
      </c>
      <c r="J273">
        <v>4845.92</v>
      </c>
      <c r="K273" t="s">
        <v>49</v>
      </c>
      <c r="L273" s="10">
        <v>45161</v>
      </c>
      <c r="M273" t="s">
        <v>24</v>
      </c>
      <c r="N273">
        <v>1977987.89</v>
      </c>
      <c r="O273" t="s">
        <v>25</v>
      </c>
      <c r="P273" s="10">
        <v>45139</v>
      </c>
      <c r="Q273">
        <v>-4845.92</v>
      </c>
      <c r="R273">
        <v>0</v>
      </c>
      <c r="S273" t="s">
        <v>1098</v>
      </c>
      <c r="T273" t="s">
        <v>1095</v>
      </c>
    </row>
    <row r="274" spans="1:20" x14ac:dyDescent="0.3">
      <c r="A274" t="s">
        <v>634</v>
      </c>
      <c r="B274">
        <v>421539</v>
      </c>
      <c r="C274" t="s">
        <v>635</v>
      </c>
      <c r="D274">
        <v>298594864896</v>
      </c>
      <c r="E274" t="s">
        <v>64</v>
      </c>
      <c r="F274" t="s">
        <v>83</v>
      </c>
      <c r="G274" t="s">
        <v>84</v>
      </c>
      <c r="H274" t="s">
        <v>67</v>
      </c>
      <c r="I274" t="s">
        <v>48</v>
      </c>
      <c r="J274">
        <v>205821.35</v>
      </c>
      <c r="K274" t="s">
        <v>23</v>
      </c>
      <c r="L274" s="10">
        <v>45757</v>
      </c>
      <c r="M274" t="s">
        <v>24</v>
      </c>
      <c r="N274">
        <v>1206544.3400000001</v>
      </c>
      <c r="O274" t="s">
        <v>25</v>
      </c>
      <c r="P274" s="10">
        <v>45748</v>
      </c>
      <c r="Q274">
        <v>205821.35</v>
      </c>
      <c r="R274">
        <v>0</v>
      </c>
      <c r="S274" t="s">
        <v>1097</v>
      </c>
      <c r="T274" t="s">
        <v>1095</v>
      </c>
    </row>
    <row r="275" spans="1:20" x14ac:dyDescent="0.3">
      <c r="A275" t="s">
        <v>636</v>
      </c>
      <c r="B275">
        <v>826365</v>
      </c>
      <c r="C275" t="s">
        <v>637</v>
      </c>
      <c r="D275">
        <v>497519884299</v>
      </c>
      <c r="E275" t="s">
        <v>18</v>
      </c>
      <c r="F275" t="s">
        <v>156</v>
      </c>
      <c r="G275" t="s">
        <v>157</v>
      </c>
      <c r="H275" t="s">
        <v>21</v>
      </c>
      <c r="I275" t="s">
        <v>22</v>
      </c>
      <c r="J275">
        <v>193788.6</v>
      </c>
      <c r="K275" t="s">
        <v>98</v>
      </c>
      <c r="L275" s="10">
        <v>45402</v>
      </c>
      <c r="M275" t="s">
        <v>24</v>
      </c>
      <c r="N275">
        <v>1163250.32</v>
      </c>
      <c r="O275" t="s">
        <v>25</v>
      </c>
      <c r="P275" s="10">
        <v>45383</v>
      </c>
      <c r="Q275">
        <v>193788.6</v>
      </c>
      <c r="R275">
        <v>0</v>
      </c>
      <c r="S275" t="s">
        <v>1098</v>
      </c>
      <c r="T275" t="s">
        <v>1095</v>
      </c>
    </row>
    <row r="276" spans="1:20" x14ac:dyDescent="0.3">
      <c r="A276" t="s">
        <v>638</v>
      </c>
      <c r="B276">
        <v>579900</v>
      </c>
      <c r="C276" t="s">
        <v>639</v>
      </c>
      <c r="D276">
        <v>201644180608</v>
      </c>
      <c r="E276" t="s">
        <v>28</v>
      </c>
      <c r="F276" t="s">
        <v>150</v>
      </c>
      <c r="G276" t="s">
        <v>151</v>
      </c>
      <c r="H276" t="s">
        <v>67</v>
      </c>
      <c r="I276" t="s">
        <v>38</v>
      </c>
      <c r="J276">
        <v>126460.13</v>
      </c>
      <c r="K276" t="s">
        <v>32</v>
      </c>
      <c r="L276" s="10">
        <v>45690</v>
      </c>
      <c r="M276" t="s">
        <v>24</v>
      </c>
      <c r="N276">
        <v>1739088.85</v>
      </c>
      <c r="O276" t="s">
        <v>25</v>
      </c>
      <c r="P276" s="10">
        <v>45689</v>
      </c>
      <c r="Q276">
        <v>-126460.13</v>
      </c>
      <c r="R276">
        <v>0</v>
      </c>
      <c r="S276" t="s">
        <v>1098</v>
      </c>
      <c r="T276" t="s">
        <v>1095</v>
      </c>
    </row>
    <row r="277" spans="1:20" x14ac:dyDescent="0.3">
      <c r="A277" t="s">
        <v>640</v>
      </c>
      <c r="B277">
        <v>792044</v>
      </c>
      <c r="C277" t="s">
        <v>641</v>
      </c>
      <c r="D277">
        <v>608496244258</v>
      </c>
      <c r="E277" t="s">
        <v>64</v>
      </c>
      <c r="F277" t="s">
        <v>177</v>
      </c>
      <c r="G277" t="s">
        <v>178</v>
      </c>
      <c r="H277" t="s">
        <v>31</v>
      </c>
      <c r="I277" t="s">
        <v>53</v>
      </c>
      <c r="J277">
        <v>272401.31</v>
      </c>
      <c r="K277" t="s">
        <v>23</v>
      </c>
      <c r="L277" s="10">
        <v>45734</v>
      </c>
      <c r="M277" t="s">
        <v>24</v>
      </c>
      <c r="N277">
        <v>1061842.3999999999</v>
      </c>
      <c r="O277" t="s">
        <v>25</v>
      </c>
      <c r="P277" s="10">
        <v>45717</v>
      </c>
      <c r="Q277">
        <v>272401.31</v>
      </c>
      <c r="R277">
        <v>0</v>
      </c>
      <c r="S277" t="s">
        <v>1097</v>
      </c>
      <c r="T277" t="s">
        <v>1095</v>
      </c>
    </row>
    <row r="278" spans="1:20" x14ac:dyDescent="0.3">
      <c r="A278" t="s">
        <v>642</v>
      </c>
      <c r="B278">
        <v>854536</v>
      </c>
      <c r="C278" t="s">
        <v>643</v>
      </c>
      <c r="D278">
        <v>533388275492</v>
      </c>
      <c r="E278" t="s">
        <v>91</v>
      </c>
      <c r="F278" t="s">
        <v>109</v>
      </c>
      <c r="G278" t="s">
        <v>110</v>
      </c>
      <c r="H278" t="s">
        <v>67</v>
      </c>
      <c r="I278" t="s">
        <v>22</v>
      </c>
      <c r="J278">
        <v>584071.86</v>
      </c>
      <c r="K278" t="s">
        <v>23</v>
      </c>
      <c r="L278" s="10">
        <v>45275</v>
      </c>
      <c r="M278" t="s">
        <v>24</v>
      </c>
      <c r="N278">
        <v>981560.64999999991</v>
      </c>
      <c r="O278" t="s">
        <v>25</v>
      </c>
      <c r="P278" s="10">
        <v>45261</v>
      </c>
      <c r="Q278">
        <v>584071.86</v>
      </c>
      <c r="R278">
        <v>0</v>
      </c>
      <c r="S278" t="s">
        <v>1097</v>
      </c>
      <c r="T278" t="s">
        <v>1095</v>
      </c>
    </row>
    <row r="279" spans="1:20" x14ac:dyDescent="0.3">
      <c r="A279" t="s">
        <v>644</v>
      </c>
      <c r="B279">
        <v>247151</v>
      </c>
      <c r="C279" t="s">
        <v>645</v>
      </c>
      <c r="D279">
        <v>926782138535</v>
      </c>
      <c r="E279" t="s">
        <v>28</v>
      </c>
      <c r="F279" t="s">
        <v>29</v>
      </c>
      <c r="G279" t="s">
        <v>30</v>
      </c>
      <c r="H279" t="s">
        <v>70</v>
      </c>
      <c r="I279" t="s">
        <v>22</v>
      </c>
      <c r="J279">
        <v>314411.17</v>
      </c>
      <c r="K279" t="s">
        <v>39</v>
      </c>
      <c r="L279" s="10">
        <v>45336</v>
      </c>
      <c r="M279" t="s">
        <v>24</v>
      </c>
      <c r="N279">
        <v>1156721.3700000001</v>
      </c>
      <c r="O279" t="s">
        <v>25</v>
      </c>
      <c r="P279" s="10">
        <v>45323</v>
      </c>
      <c r="Q279">
        <v>314411.17</v>
      </c>
      <c r="R279">
        <v>0</v>
      </c>
      <c r="S279" t="s">
        <v>1098</v>
      </c>
      <c r="T279" t="s">
        <v>1095</v>
      </c>
    </row>
    <row r="280" spans="1:20" x14ac:dyDescent="0.3">
      <c r="A280" t="s">
        <v>646</v>
      </c>
      <c r="B280">
        <v>116982</v>
      </c>
      <c r="C280" t="s">
        <v>647</v>
      </c>
      <c r="D280">
        <v>123840092510</v>
      </c>
      <c r="E280" t="s">
        <v>18</v>
      </c>
      <c r="F280" t="s">
        <v>19</v>
      </c>
      <c r="G280" t="s">
        <v>20</v>
      </c>
      <c r="H280" t="s">
        <v>31</v>
      </c>
      <c r="I280" t="s">
        <v>48</v>
      </c>
      <c r="J280">
        <v>11969.71</v>
      </c>
      <c r="K280" t="s">
        <v>23</v>
      </c>
      <c r="L280" s="10">
        <v>45570</v>
      </c>
      <c r="M280" t="s">
        <v>24</v>
      </c>
      <c r="N280">
        <v>501200.97</v>
      </c>
      <c r="O280" t="s">
        <v>25</v>
      </c>
      <c r="P280" s="10">
        <v>45566</v>
      </c>
      <c r="Q280">
        <v>11969.71</v>
      </c>
      <c r="R280">
        <v>0</v>
      </c>
      <c r="S280" t="s">
        <v>1097</v>
      </c>
      <c r="T280" t="s">
        <v>1095</v>
      </c>
    </row>
    <row r="281" spans="1:20" x14ac:dyDescent="0.3">
      <c r="A281" t="s">
        <v>648</v>
      </c>
      <c r="B281">
        <v>588946</v>
      </c>
      <c r="C281" t="s">
        <v>649</v>
      </c>
      <c r="D281">
        <v>171963031441</v>
      </c>
      <c r="E281" t="s">
        <v>64</v>
      </c>
      <c r="F281" t="s">
        <v>146</v>
      </c>
      <c r="G281" t="s">
        <v>147</v>
      </c>
      <c r="H281" t="s">
        <v>67</v>
      </c>
      <c r="I281" t="s">
        <v>38</v>
      </c>
      <c r="J281">
        <v>116669.04</v>
      </c>
      <c r="K281" t="s">
        <v>23</v>
      </c>
      <c r="L281" s="10">
        <v>45262</v>
      </c>
      <c r="M281" t="s">
        <v>24</v>
      </c>
      <c r="N281">
        <v>1108834.99</v>
      </c>
      <c r="O281" t="s">
        <v>25</v>
      </c>
      <c r="P281" s="10">
        <v>45261</v>
      </c>
      <c r="Q281">
        <v>-116669.04</v>
      </c>
      <c r="R281">
        <v>0</v>
      </c>
      <c r="S281" t="s">
        <v>1097</v>
      </c>
      <c r="T281" t="s">
        <v>1095</v>
      </c>
    </row>
    <row r="282" spans="1:20" x14ac:dyDescent="0.3">
      <c r="A282" t="s">
        <v>650</v>
      </c>
      <c r="B282">
        <v>316547</v>
      </c>
      <c r="C282" t="s">
        <v>651</v>
      </c>
      <c r="D282">
        <v>641936362459</v>
      </c>
      <c r="E282" t="s">
        <v>64</v>
      </c>
      <c r="F282" t="s">
        <v>146</v>
      </c>
      <c r="G282" t="s">
        <v>147</v>
      </c>
      <c r="H282" t="s">
        <v>70</v>
      </c>
      <c r="I282" t="s">
        <v>53</v>
      </c>
      <c r="J282">
        <v>443587.6</v>
      </c>
      <c r="K282" t="s">
        <v>23</v>
      </c>
      <c r="L282" s="10">
        <v>45352</v>
      </c>
      <c r="M282" t="s">
        <v>24</v>
      </c>
      <c r="N282">
        <v>1996546.47</v>
      </c>
      <c r="O282" t="s">
        <v>25</v>
      </c>
      <c r="P282" s="10">
        <v>45352</v>
      </c>
      <c r="Q282">
        <v>443587.6</v>
      </c>
      <c r="R282">
        <v>0</v>
      </c>
      <c r="S282" t="s">
        <v>1097</v>
      </c>
      <c r="T282" t="s">
        <v>1095</v>
      </c>
    </row>
    <row r="283" spans="1:20" x14ac:dyDescent="0.3">
      <c r="A283" t="s">
        <v>652</v>
      </c>
      <c r="B283">
        <v>492092</v>
      </c>
      <c r="C283" t="s">
        <v>653</v>
      </c>
      <c r="D283">
        <v>564967692986</v>
      </c>
      <c r="E283" t="s">
        <v>28</v>
      </c>
      <c r="F283" t="s">
        <v>29</v>
      </c>
      <c r="G283" t="s">
        <v>30</v>
      </c>
      <c r="H283" t="s">
        <v>31</v>
      </c>
      <c r="I283" t="s">
        <v>48</v>
      </c>
      <c r="J283">
        <v>101848.93</v>
      </c>
      <c r="K283" t="s">
        <v>32</v>
      </c>
      <c r="L283" s="10">
        <v>45243</v>
      </c>
      <c r="M283" t="s">
        <v>24</v>
      </c>
      <c r="N283">
        <v>1018560.23</v>
      </c>
      <c r="O283" t="s">
        <v>25</v>
      </c>
      <c r="P283" s="10">
        <v>45231</v>
      </c>
      <c r="Q283">
        <v>101848.93</v>
      </c>
      <c r="R283">
        <v>0</v>
      </c>
      <c r="S283" t="s">
        <v>1098</v>
      </c>
      <c r="T283" t="s">
        <v>1095</v>
      </c>
    </row>
    <row r="284" spans="1:20" x14ac:dyDescent="0.3">
      <c r="A284" t="s">
        <v>654</v>
      </c>
      <c r="B284">
        <v>689047</v>
      </c>
      <c r="C284" t="s">
        <v>655</v>
      </c>
      <c r="D284">
        <v>494929654093</v>
      </c>
      <c r="E284" t="s">
        <v>18</v>
      </c>
      <c r="F284" t="s">
        <v>156</v>
      </c>
      <c r="G284" t="s">
        <v>157</v>
      </c>
      <c r="H284" t="s">
        <v>67</v>
      </c>
      <c r="I284" t="s">
        <v>38</v>
      </c>
      <c r="J284">
        <v>10185.450000000001</v>
      </c>
      <c r="K284" t="s">
        <v>32</v>
      </c>
      <c r="L284" s="10">
        <v>45320</v>
      </c>
      <c r="M284" t="s">
        <v>24</v>
      </c>
      <c r="N284">
        <v>659150.17000000004</v>
      </c>
      <c r="O284" t="s">
        <v>25</v>
      </c>
      <c r="P284" s="10">
        <v>45292</v>
      </c>
      <c r="Q284">
        <v>-10185.450000000001</v>
      </c>
      <c r="R284">
        <v>0</v>
      </c>
      <c r="S284" t="s">
        <v>1098</v>
      </c>
      <c r="T284" t="s">
        <v>1095</v>
      </c>
    </row>
    <row r="285" spans="1:20" x14ac:dyDescent="0.3">
      <c r="A285" t="s">
        <v>656</v>
      </c>
      <c r="B285">
        <v>362079</v>
      </c>
      <c r="C285" t="s">
        <v>657</v>
      </c>
      <c r="D285">
        <v>119549755173</v>
      </c>
      <c r="E285" t="s">
        <v>64</v>
      </c>
      <c r="F285" t="s">
        <v>166</v>
      </c>
      <c r="G285" t="s">
        <v>167</v>
      </c>
      <c r="H285" t="s">
        <v>31</v>
      </c>
      <c r="I285" t="s">
        <v>38</v>
      </c>
      <c r="J285">
        <v>1553.42</v>
      </c>
      <c r="K285" t="s">
        <v>23</v>
      </c>
      <c r="L285" s="10">
        <v>45621</v>
      </c>
      <c r="M285" t="s">
        <v>24</v>
      </c>
      <c r="N285">
        <v>1995705.93</v>
      </c>
      <c r="O285" t="s">
        <v>25</v>
      </c>
      <c r="P285" s="10">
        <v>45597</v>
      </c>
      <c r="Q285">
        <v>-1553.42</v>
      </c>
      <c r="R285">
        <v>0</v>
      </c>
      <c r="S285" t="s">
        <v>1097</v>
      </c>
      <c r="T285" t="s">
        <v>1095</v>
      </c>
    </row>
    <row r="286" spans="1:20" x14ac:dyDescent="0.3">
      <c r="A286" t="s">
        <v>658</v>
      </c>
      <c r="B286">
        <v>856677</v>
      </c>
      <c r="C286" t="s">
        <v>659</v>
      </c>
      <c r="D286">
        <v>124406358417</v>
      </c>
      <c r="E286" t="s">
        <v>28</v>
      </c>
      <c r="F286" t="s">
        <v>216</v>
      </c>
      <c r="G286" t="s">
        <v>217</v>
      </c>
      <c r="H286" t="s">
        <v>31</v>
      </c>
      <c r="I286" t="s">
        <v>38</v>
      </c>
      <c r="J286">
        <v>60785.43</v>
      </c>
      <c r="K286" t="s">
        <v>49</v>
      </c>
      <c r="L286" s="10">
        <v>45189</v>
      </c>
      <c r="M286" t="s">
        <v>24</v>
      </c>
      <c r="N286">
        <v>1643531.92</v>
      </c>
      <c r="O286" t="s">
        <v>25</v>
      </c>
      <c r="P286" s="10">
        <v>45170</v>
      </c>
      <c r="Q286">
        <v>-60785.43</v>
      </c>
      <c r="R286">
        <v>0</v>
      </c>
      <c r="S286" t="s">
        <v>1098</v>
      </c>
      <c r="T286" t="s">
        <v>1095</v>
      </c>
    </row>
    <row r="287" spans="1:20" x14ac:dyDescent="0.3">
      <c r="A287" t="s">
        <v>660</v>
      </c>
      <c r="B287">
        <v>740300</v>
      </c>
      <c r="C287" t="s">
        <v>661</v>
      </c>
      <c r="D287">
        <v>994560173406</v>
      </c>
      <c r="E287" t="s">
        <v>18</v>
      </c>
      <c r="F287" t="s">
        <v>19</v>
      </c>
      <c r="G287" t="s">
        <v>20</v>
      </c>
      <c r="H287" t="s">
        <v>70</v>
      </c>
      <c r="I287" t="s">
        <v>53</v>
      </c>
      <c r="J287">
        <v>26356.89</v>
      </c>
      <c r="K287" t="s">
        <v>49</v>
      </c>
      <c r="L287" s="10">
        <v>45420</v>
      </c>
      <c r="M287" t="s">
        <v>24</v>
      </c>
      <c r="N287">
        <v>2014129.86</v>
      </c>
      <c r="O287" t="s">
        <v>25</v>
      </c>
      <c r="P287" s="10">
        <v>45413</v>
      </c>
      <c r="Q287">
        <v>26356.89</v>
      </c>
      <c r="R287">
        <v>0</v>
      </c>
      <c r="S287" t="s">
        <v>1098</v>
      </c>
      <c r="T287" t="s">
        <v>1095</v>
      </c>
    </row>
    <row r="288" spans="1:20" x14ac:dyDescent="0.3">
      <c r="A288" t="s">
        <v>662</v>
      </c>
      <c r="B288">
        <v>879380</v>
      </c>
      <c r="C288" t="s">
        <v>663</v>
      </c>
      <c r="D288">
        <v>136882903943</v>
      </c>
      <c r="E288" t="s">
        <v>35</v>
      </c>
      <c r="F288" t="s">
        <v>136</v>
      </c>
      <c r="G288" t="s">
        <v>137</v>
      </c>
      <c r="H288" t="s">
        <v>21</v>
      </c>
      <c r="I288" t="s">
        <v>53</v>
      </c>
      <c r="J288">
        <v>426792.12</v>
      </c>
      <c r="K288" t="s">
        <v>23</v>
      </c>
      <c r="L288" s="10">
        <v>45279</v>
      </c>
      <c r="M288" t="s">
        <v>24</v>
      </c>
      <c r="N288">
        <v>1603328.83</v>
      </c>
      <c r="O288" t="s">
        <v>25</v>
      </c>
      <c r="P288" s="10">
        <v>45261</v>
      </c>
      <c r="Q288">
        <v>426792.12</v>
      </c>
      <c r="R288">
        <v>0</v>
      </c>
      <c r="S288" t="s">
        <v>1097</v>
      </c>
      <c r="T288" t="s">
        <v>1095</v>
      </c>
    </row>
    <row r="289" spans="1:20" x14ac:dyDescent="0.3">
      <c r="A289" t="s">
        <v>664</v>
      </c>
      <c r="B289">
        <v>801581</v>
      </c>
      <c r="C289" t="s">
        <v>665</v>
      </c>
      <c r="D289">
        <v>217777372658</v>
      </c>
      <c r="E289" t="s">
        <v>18</v>
      </c>
      <c r="F289" t="s">
        <v>156</v>
      </c>
      <c r="G289" t="s">
        <v>157</v>
      </c>
      <c r="H289" t="s">
        <v>70</v>
      </c>
      <c r="I289" t="s">
        <v>53</v>
      </c>
      <c r="J289">
        <v>491742.99</v>
      </c>
      <c r="K289" t="s">
        <v>23</v>
      </c>
      <c r="L289" s="10">
        <v>45255</v>
      </c>
      <c r="M289" t="s">
        <v>24</v>
      </c>
      <c r="N289">
        <v>1035990.72</v>
      </c>
      <c r="O289" t="s">
        <v>25</v>
      </c>
      <c r="P289" s="10">
        <v>45231</v>
      </c>
      <c r="Q289">
        <v>491742.99</v>
      </c>
      <c r="R289">
        <v>0</v>
      </c>
      <c r="S289" t="s">
        <v>1097</v>
      </c>
      <c r="T289" t="s">
        <v>1095</v>
      </c>
    </row>
    <row r="290" spans="1:20" x14ac:dyDescent="0.3">
      <c r="A290" t="s">
        <v>666</v>
      </c>
      <c r="B290">
        <v>961459</v>
      </c>
      <c r="C290" t="s">
        <v>667</v>
      </c>
      <c r="D290">
        <v>437188099042</v>
      </c>
      <c r="E290" t="s">
        <v>64</v>
      </c>
      <c r="F290" t="s">
        <v>83</v>
      </c>
      <c r="G290" t="s">
        <v>84</v>
      </c>
      <c r="H290" t="s">
        <v>70</v>
      </c>
      <c r="I290" t="s">
        <v>53</v>
      </c>
      <c r="J290">
        <v>189663.01</v>
      </c>
      <c r="K290" t="s">
        <v>49</v>
      </c>
      <c r="L290" s="10">
        <v>45251</v>
      </c>
      <c r="M290" t="s">
        <v>24</v>
      </c>
      <c r="N290">
        <v>1340680.25</v>
      </c>
      <c r="O290" t="s">
        <v>25</v>
      </c>
      <c r="P290" s="10">
        <v>45231</v>
      </c>
      <c r="Q290">
        <v>189663.01</v>
      </c>
      <c r="R290">
        <v>0</v>
      </c>
      <c r="S290" t="s">
        <v>1098</v>
      </c>
      <c r="T290" t="s">
        <v>1095</v>
      </c>
    </row>
    <row r="291" spans="1:20" x14ac:dyDescent="0.3">
      <c r="A291" t="s">
        <v>668</v>
      </c>
      <c r="B291">
        <v>942595</v>
      </c>
      <c r="C291" t="s">
        <v>669</v>
      </c>
      <c r="D291">
        <v>883282254049</v>
      </c>
      <c r="E291" t="s">
        <v>35</v>
      </c>
      <c r="F291" t="s">
        <v>73</v>
      </c>
      <c r="G291" t="s">
        <v>74</v>
      </c>
      <c r="H291" t="s">
        <v>31</v>
      </c>
      <c r="I291" t="s">
        <v>48</v>
      </c>
      <c r="J291">
        <v>236628.52</v>
      </c>
      <c r="K291" t="s">
        <v>49</v>
      </c>
      <c r="L291" s="10">
        <v>45541</v>
      </c>
      <c r="M291" t="s">
        <v>24</v>
      </c>
      <c r="N291">
        <v>1761005.02</v>
      </c>
      <c r="O291" t="s">
        <v>25</v>
      </c>
      <c r="P291" s="10">
        <v>45536</v>
      </c>
      <c r="Q291">
        <v>236628.52</v>
      </c>
      <c r="R291">
        <v>0</v>
      </c>
      <c r="S291" t="s">
        <v>1098</v>
      </c>
      <c r="T291" t="s">
        <v>1095</v>
      </c>
    </row>
    <row r="292" spans="1:20" x14ac:dyDescent="0.3">
      <c r="A292" t="s">
        <v>670</v>
      </c>
      <c r="B292">
        <v>775026</v>
      </c>
      <c r="C292" t="s">
        <v>671</v>
      </c>
      <c r="D292">
        <v>462284198068</v>
      </c>
      <c r="E292" t="s">
        <v>91</v>
      </c>
      <c r="F292" t="s">
        <v>130</v>
      </c>
      <c r="G292" t="s">
        <v>131</v>
      </c>
      <c r="H292" t="s">
        <v>31</v>
      </c>
      <c r="I292" t="s">
        <v>22</v>
      </c>
      <c r="J292">
        <v>210645.38</v>
      </c>
      <c r="K292" t="s">
        <v>39</v>
      </c>
      <c r="L292" s="10">
        <v>45514</v>
      </c>
      <c r="M292" t="s">
        <v>24</v>
      </c>
      <c r="N292">
        <v>1621110.9</v>
      </c>
      <c r="O292" t="s">
        <v>25</v>
      </c>
      <c r="P292" s="10">
        <v>45505</v>
      </c>
      <c r="Q292">
        <v>210645.38</v>
      </c>
      <c r="R292">
        <v>0</v>
      </c>
      <c r="S292" t="s">
        <v>1098</v>
      </c>
      <c r="T292" t="s">
        <v>1095</v>
      </c>
    </row>
    <row r="293" spans="1:20" x14ac:dyDescent="0.3">
      <c r="A293" t="s">
        <v>672</v>
      </c>
      <c r="B293">
        <v>433250</v>
      </c>
      <c r="C293" t="s">
        <v>673</v>
      </c>
      <c r="D293">
        <v>123226173461</v>
      </c>
      <c r="E293" t="s">
        <v>18</v>
      </c>
      <c r="F293" t="s">
        <v>156</v>
      </c>
      <c r="G293" t="s">
        <v>157</v>
      </c>
      <c r="H293" t="s">
        <v>31</v>
      </c>
      <c r="I293" t="s">
        <v>22</v>
      </c>
      <c r="J293">
        <v>290735.08</v>
      </c>
      <c r="K293" t="s">
        <v>98</v>
      </c>
      <c r="L293" s="10">
        <v>45344</v>
      </c>
      <c r="M293" t="s">
        <v>24</v>
      </c>
      <c r="N293">
        <v>2174884.65</v>
      </c>
      <c r="O293" t="s">
        <v>25</v>
      </c>
      <c r="P293" s="10">
        <v>45323</v>
      </c>
      <c r="Q293">
        <v>290735.08</v>
      </c>
      <c r="R293">
        <v>0</v>
      </c>
      <c r="S293" t="s">
        <v>1098</v>
      </c>
      <c r="T293" t="s">
        <v>1095</v>
      </c>
    </row>
    <row r="294" spans="1:20" x14ac:dyDescent="0.3">
      <c r="A294" t="s">
        <v>674</v>
      </c>
      <c r="B294">
        <v>363910</v>
      </c>
      <c r="C294" t="s">
        <v>675</v>
      </c>
      <c r="D294">
        <v>677482806646</v>
      </c>
      <c r="E294" t="s">
        <v>64</v>
      </c>
      <c r="F294" t="s">
        <v>65</v>
      </c>
      <c r="G294" t="s">
        <v>66</v>
      </c>
      <c r="H294" t="s">
        <v>70</v>
      </c>
      <c r="I294" t="s">
        <v>53</v>
      </c>
      <c r="J294">
        <v>56566.32</v>
      </c>
      <c r="K294" t="s">
        <v>98</v>
      </c>
      <c r="L294" s="10">
        <v>45340</v>
      </c>
      <c r="M294" t="s">
        <v>24</v>
      </c>
      <c r="N294">
        <v>1359620.56</v>
      </c>
      <c r="O294" t="s">
        <v>25</v>
      </c>
      <c r="P294" s="10">
        <v>45323</v>
      </c>
      <c r="Q294">
        <v>56566.32</v>
      </c>
      <c r="R294">
        <v>0</v>
      </c>
      <c r="S294" t="s">
        <v>1098</v>
      </c>
      <c r="T294" t="s">
        <v>1095</v>
      </c>
    </row>
    <row r="295" spans="1:20" x14ac:dyDescent="0.3">
      <c r="A295" t="s">
        <v>676</v>
      </c>
      <c r="B295">
        <v>665314</v>
      </c>
      <c r="C295" t="s">
        <v>677</v>
      </c>
      <c r="D295">
        <v>420857447807</v>
      </c>
      <c r="E295" t="s">
        <v>64</v>
      </c>
      <c r="F295" t="s">
        <v>65</v>
      </c>
      <c r="G295" t="s">
        <v>66</v>
      </c>
      <c r="H295" t="s">
        <v>70</v>
      </c>
      <c r="I295" t="s">
        <v>38</v>
      </c>
      <c r="J295">
        <v>128481.44</v>
      </c>
      <c r="K295" t="s">
        <v>23</v>
      </c>
      <c r="L295" s="10">
        <v>45210</v>
      </c>
      <c r="M295" t="s">
        <v>24</v>
      </c>
      <c r="N295">
        <v>1180805.3799999999</v>
      </c>
      <c r="O295" t="s">
        <v>25</v>
      </c>
      <c r="P295" s="10">
        <v>45200</v>
      </c>
      <c r="Q295">
        <v>-128481.44</v>
      </c>
      <c r="R295">
        <v>0</v>
      </c>
      <c r="S295" t="s">
        <v>1097</v>
      </c>
      <c r="T295" t="s">
        <v>1095</v>
      </c>
    </row>
    <row r="296" spans="1:20" x14ac:dyDescent="0.3">
      <c r="A296" t="s">
        <v>678</v>
      </c>
      <c r="B296">
        <v>560593</v>
      </c>
      <c r="C296" t="s">
        <v>679</v>
      </c>
      <c r="D296">
        <v>242581856250</v>
      </c>
      <c r="E296" t="s">
        <v>18</v>
      </c>
      <c r="F296" t="s">
        <v>56</v>
      </c>
      <c r="G296" t="s">
        <v>57</v>
      </c>
      <c r="H296" t="s">
        <v>67</v>
      </c>
      <c r="I296" t="s">
        <v>53</v>
      </c>
      <c r="J296">
        <v>342352.78</v>
      </c>
      <c r="K296" t="s">
        <v>49</v>
      </c>
      <c r="L296" s="10">
        <v>45388</v>
      </c>
      <c r="M296" t="s">
        <v>24</v>
      </c>
      <c r="N296">
        <v>1571656.18</v>
      </c>
      <c r="O296" t="s">
        <v>25</v>
      </c>
      <c r="P296" s="10">
        <v>45383</v>
      </c>
      <c r="Q296">
        <v>342352.78</v>
      </c>
      <c r="R296">
        <v>0</v>
      </c>
      <c r="S296" t="s">
        <v>1098</v>
      </c>
      <c r="T296" t="s">
        <v>1095</v>
      </c>
    </row>
    <row r="297" spans="1:20" x14ac:dyDescent="0.3">
      <c r="A297" t="s">
        <v>680</v>
      </c>
      <c r="B297">
        <v>818431</v>
      </c>
      <c r="C297" t="s">
        <v>681</v>
      </c>
      <c r="D297">
        <v>134008821990</v>
      </c>
      <c r="E297" t="s">
        <v>18</v>
      </c>
      <c r="F297" t="s">
        <v>46</v>
      </c>
      <c r="G297" t="s">
        <v>47</v>
      </c>
      <c r="H297" t="s">
        <v>70</v>
      </c>
      <c r="I297" t="s">
        <v>38</v>
      </c>
      <c r="J297">
        <v>85345.93</v>
      </c>
      <c r="K297" t="s">
        <v>39</v>
      </c>
      <c r="L297" s="10">
        <v>45443</v>
      </c>
      <c r="M297" t="s">
        <v>24</v>
      </c>
      <c r="N297">
        <v>1748371.94</v>
      </c>
      <c r="O297" t="s">
        <v>179</v>
      </c>
      <c r="P297" s="10">
        <v>45413</v>
      </c>
      <c r="Q297">
        <v>-85345.93</v>
      </c>
      <c r="R297">
        <v>1</v>
      </c>
      <c r="S297" t="s">
        <v>1098</v>
      </c>
      <c r="T297" t="s">
        <v>1095</v>
      </c>
    </row>
    <row r="298" spans="1:20" x14ac:dyDescent="0.3">
      <c r="A298" t="s">
        <v>682</v>
      </c>
      <c r="B298">
        <v>866770</v>
      </c>
      <c r="C298" t="s">
        <v>683</v>
      </c>
      <c r="D298">
        <v>151051425844</v>
      </c>
      <c r="E298" t="s">
        <v>64</v>
      </c>
      <c r="F298" t="s">
        <v>146</v>
      </c>
      <c r="G298" t="s">
        <v>147</v>
      </c>
      <c r="H298" t="s">
        <v>31</v>
      </c>
      <c r="I298" t="s">
        <v>48</v>
      </c>
      <c r="J298">
        <v>79519.039999999994</v>
      </c>
      <c r="K298" t="s">
        <v>32</v>
      </c>
      <c r="L298" s="10">
        <v>45753</v>
      </c>
      <c r="M298" t="s">
        <v>24</v>
      </c>
      <c r="N298">
        <v>723530.21000000008</v>
      </c>
      <c r="O298" t="s">
        <v>25</v>
      </c>
      <c r="P298" s="10">
        <v>45748</v>
      </c>
      <c r="Q298">
        <v>79519.039999999994</v>
      </c>
      <c r="R298">
        <v>0</v>
      </c>
      <c r="S298" t="s">
        <v>1098</v>
      </c>
      <c r="T298" t="s">
        <v>1095</v>
      </c>
    </row>
    <row r="299" spans="1:20" x14ac:dyDescent="0.3">
      <c r="A299" t="s">
        <v>684</v>
      </c>
      <c r="B299">
        <v>372542</v>
      </c>
      <c r="C299" t="s">
        <v>685</v>
      </c>
      <c r="D299">
        <v>289947365975</v>
      </c>
      <c r="E299" t="s">
        <v>28</v>
      </c>
      <c r="F299" t="s">
        <v>29</v>
      </c>
      <c r="G299" t="s">
        <v>30</v>
      </c>
      <c r="H299" t="s">
        <v>67</v>
      </c>
      <c r="I299" t="s">
        <v>22</v>
      </c>
      <c r="J299">
        <v>158595.54999999999</v>
      </c>
      <c r="K299" t="s">
        <v>32</v>
      </c>
      <c r="L299" s="10">
        <v>45479</v>
      </c>
      <c r="M299" t="s">
        <v>24</v>
      </c>
      <c r="N299">
        <v>1973122.34</v>
      </c>
      <c r="O299" t="s">
        <v>25</v>
      </c>
      <c r="P299" s="10">
        <v>45474</v>
      </c>
      <c r="Q299">
        <v>158595.54999999999</v>
      </c>
      <c r="R299">
        <v>0</v>
      </c>
      <c r="S299" t="s">
        <v>1098</v>
      </c>
      <c r="T299" t="s">
        <v>1095</v>
      </c>
    </row>
    <row r="300" spans="1:20" x14ac:dyDescent="0.3">
      <c r="A300" t="s">
        <v>686</v>
      </c>
      <c r="B300">
        <v>953804</v>
      </c>
      <c r="C300" t="s">
        <v>687</v>
      </c>
      <c r="D300">
        <v>241139363334</v>
      </c>
      <c r="E300" t="s">
        <v>28</v>
      </c>
      <c r="F300" t="s">
        <v>192</v>
      </c>
      <c r="G300" t="s">
        <v>193</v>
      </c>
      <c r="H300" t="s">
        <v>67</v>
      </c>
      <c r="I300" t="s">
        <v>53</v>
      </c>
      <c r="J300">
        <v>97285.9</v>
      </c>
      <c r="K300" t="s">
        <v>39</v>
      </c>
      <c r="L300" s="10">
        <v>45426</v>
      </c>
      <c r="M300" t="s">
        <v>24</v>
      </c>
      <c r="N300">
        <v>1096499.6100000001</v>
      </c>
      <c r="O300" t="s">
        <v>25</v>
      </c>
      <c r="P300" s="10">
        <v>45413</v>
      </c>
      <c r="Q300">
        <v>97285.9</v>
      </c>
      <c r="R300">
        <v>0</v>
      </c>
      <c r="S300" t="s">
        <v>1098</v>
      </c>
      <c r="T300" t="s">
        <v>1095</v>
      </c>
    </row>
    <row r="301" spans="1:20" x14ac:dyDescent="0.3">
      <c r="A301" t="s">
        <v>688</v>
      </c>
      <c r="B301">
        <v>916955</v>
      </c>
      <c r="C301" t="s">
        <v>689</v>
      </c>
      <c r="D301">
        <v>635029319031</v>
      </c>
      <c r="E301" t="s">
        <v>64</v>
      </c>
      <c r="F301" t="s">
        <v>65</v>
      </c>
      <c r="G301" t="s">
        <v>66</v>
      </c>
      <c r="H301" t="s">
        <v>31</v>
      </c>
      <c r="I301" t="s">
        <v>53</v>
      </c>
      <c r="J301">
        <v>126634.62</v>
      </c>
      <c r="K301" t="s">
        <v>32</v>
      </c>
      <c r="L301" s="10">
        <v>45559</v>
      </c>
      <c r="M301" t="s">
        <v>24</v>
      </c>
      <c r="N301">
        <v>1183803.32</v>
      </c>
      <c r="O301" t="s">
        <v>25</v>
      </c>
      <c r="P301" s="10">
        <v>45536</v>
      </c>
      <c r="Q301">
        <v>126634.62</v>
      </c>
      <c r="R301">
        <v>0</v>
      </c>
      <c r="S301" t="s">
        <v>1098</v>
      </c>
      <c r="T301" t="s">
        <v>1095</v>
      </c>
    </row>
    <row r="302" spans="1:20" x14ac:dyDescent="0.3">
      <c r="A302" t="s">
        <v>690</v>
      </c>
      <c r="B302">
        <v>977193</v>
      </c>
      <c r="C302" t="s">
        <v>691</v>
      </c>
      <c r="D302">
        <v>268490351527</v>
      </c>
      <c r="E302" t="s">
        <v>91</v>
      </c>
      <c r="F302" t="s">
        <v>105</v>
      </c>
      <c r="G302" t="s">
        <v>106</v>
      </c>
      <c r="H302" t="s">
        <v>21</v>
      </c>
      <c r="I302" t="s">
        <v>38</v>
      </c>
      <c r="J302">
        <v>21877.29</v>
      </c>
      <c r="K302" t="s">
        <v>98</v>
      </c>
      <c r="L302" s="10">
        <v>45777</v>
      </c>
      <c r="M302" t="s">
        <v>24</v>
      </c>
      <c r="N302">
        <v>1159209.6200000001</v>
      </c>
      <c r="O302" t="s">
        <v>25</v>
      </c>
      <c r="P302" s="10">
        <v>45748</v>
      </c>
      <c r="Q302">
        <v>-21877.29</v>
      </c>
      <c r="R302">
        <v>0</v>
      </c>
      <c r="S302" t="s">
        <v>1098</v>
      </c>
      <c r="T302" t="s">
        <v>1095</v>
      </c>
    </row>
    <row r="303" spans="1:20" x14ac:dyDescent="0.3">
      <c r="A303" t="s">
        <v>692</v>
      </c>
      <c r="B303">
        <v>432558</v>
      </c>
      <c r="C303" t="s">
        <v>693</v>
      </c>
      <c r="D303">
        <v>584318320202</v>
      </c>
      <c r="E303" t="s">
        <v>91</v>
      </c>
      <c r="F303" t="s">
        <v>109</v>
      </c>
      <c r="G303" t="s">
        <v>110</v>
      </c>
      <c r="H303" t="s">
        <v>31</v>
      </c>
      <c r="I303" t="s">
        <v>22</v>
      </c>
      <c r="J303">
        <v>252929.01</v>
      </c>
      <c r="K303" t="s">
        <v>49</v>
      </c>
      <c r="L303" s="10">
        <v>45832</v>
      </c>
      <c r="M303" t="s">
        <v>24</v>
      </c>
      <c r="N303">
        <v>2184054.12</v>
      </c>
      <c r="O303" t="s">
        <v>25</v>
      </c>
      <c r="P303" s="10">
        <v>45809</v>
      </c>
      <c r="Q303">
        <v>252929.01</v>
      </c>
      <c r="R303">
        <v>0</v>
      </c>
      <c r="S303" t="s">
        <v>1098</v>
      </c>
      <c r="T303" t="s">
        <v>1095</v>
      </c>
    </row>
    <row r="304" spans="1:20" x14ac:dyDescent="0.3">
      <c r="A304" t="s">
        <v>694</v>
      </c>
      <c r="B304">
        <v>240903</v>
      </c>
      <c r="C304" t="s">
        <v>695</v>
      </c>
      <c r="D304">
        <v>139932947699</v>
      </c>
      <c r="E304" t="s">
        <v>64</v>
      </c>
      <c r="F304" t="s">
        <v>146</v>
      </c>
      <c r="G304" t="s">
        <v>147</v>
      </c>
      <c r="H304" t="s">
        <v>67</v>
      </c>
      <c r="I304" t="s">
        <v>38</v>
      </c>
      <c r="J304">
        <v>25588.29</v>
      </c>
      <c r="K304" t="s">
        <v>23</v>
      </c>
      <c r="L304" s="10">
        <v>45556</v>
      </c>
      <c r="M304" t="s">
        <v>24</v>
      </c>
      <c r="N304">
        <v>1359400.18</v>
      </c>
      <c r="O304" t="s">
        <v>25</v>
      </c>
      <c r="P304" s="10">
        <v>45536</v>
      </c>
      <c r="Q304">
        <v>-25588.29</v>
      </c>
      <c r="R304">
        <v>0</v>
      </c>
      <c r="S304" t="s">
        <v>1097</v>
      </c>
      <c r="T304" t="s">
        <v>1095</v>
      </c>
    </row>
    <row r="305" spans="1:20" x14ac:dyDescent="0.3">
      <c r="A305" t="s">
        <v>696</v>
      </c>
      <c r="B305">
        <v>155800</v>
      </c>
      <c r="C305" t="s">
        <v>697</v>
      </c>
      <c r="D305">
        <v>172987559056</v>
      </c>
      <c r="E305" t="s">
        <v>28</v>
      </c>
      <c r="F305" t="s">
        <v>150</v>
      </c>
      <c r="G305" t="s">
        <v>151</v>
      </c>
      <c r="H305" t="s">
        <v>67</v>
      </c>
      <c r="I305" t="s">
        <v>53</v>
      </c>
      <c r="J305">
        <v>488550.1</v>
      </c>
      <c r="K305" t="s">
        <v>98</v>
      </c>
      <c r="L305" s="10">
        <v>45725</v>
      </c>
      <c r="M305" t="s">
        <v>24</v>
      </c>
      <c r="N305">
        <v>1782974.75</v>
      </c>
      <c r="O305" t="s">
        <v>25</v>
      </c>
      <c r="P305" s="10">
        <v>45717</v>
      </c>
      <c r="Q305">
        <v>488550.1</v>
      </c>
      <c r="R305">
        <v>0</v>
      </c>
      <c r="S305" t="s">
        <v>1098</v>
      </c>
      <c r="T305" t="s">
        <v>1095</v>
      </c>
    </row>
    <row r="306" spans="1:20" x14ac:dyDescent="0.3">
      <c r="A306" t="s">
        <v>698</v>
      </c>
      <c r="B306">
        <v>288231</v>
      </c>
      <c r="C306" t="s">
        <v>699</v>
      </c>
      <c r="D306">
        <v>275740728802</v>
      </c>
      <c r="E306" t="s">
        <v>28</v>
      </c>
      <c r="F306" t="s">
        <v>192</v>
      </c>
      <c r="G306" t="s">
        <v>193</v>
      </c>
      <c r="H306" t="s">
        <v>31</v>
      </c>
      <c r="I306" t="s">
        <v>22</v>
      </c>
      <c r="J306">
        <v>95620.89</v>
      </c>
      <c r="K306" t="s">
        <v>32</v>
      </c>
      <c r="L306" s="10">
        <v>45770</v>
      </c>
      <c r="M306" t="s">
        <v>24</v>
      </c>
      <c r="N306">
        <v>1185408.31</v>
      </c>
      <c r="O306" t="s">
        <v>25</v>
      </c>
      <c r="P306" s="10">
        <v>45748</v>
      </c>
      <c r="Q306">
        <v>95620.89</v>
      </c>
      <c r="R306">
        <v>0</v>
      </c>
      <c r="S306" t="s">
        <v>1098</v>
      </c>
      <c r="T306" t="s">
        <v>1095</v>
      </c>
    </row>
    <row r="307" spans="1:20" x14ac:dyDescent="0.3">
      <c r="A307" t="s">
        <v>700</v>
      </c>
      <c r="B307">
        <v>990243</v>
      </c>
      <c r="C307" t="s">
        <v>701</v>
      </c>
      <c r="D307">
        <v>549737898101</v>
      </c>
      <c r="E307" t="s">
        <v>91</v>
      </c>
      <c r="F307" t="s">
        <v>162</v>
      </c>
      <c r="G307" t="s">
        <v>163</v>
      </c>
      <c r="H307" t="s">
        <v>31</v>
      </c>
      <c r="I307" t="s">
        <v>48</v>
      </c>
      <c r="J307">
        <v>201991.8</v>
      </c>
      <c r="K307" t="s">
        <v>98</v>
      </c>
      <c r="L307" s="10">
        <v>45391</v>
      </c>
      <c r="M307" t="s">
        <v>24</v>
      </c>
      <c r="N307">
        <v>1661830.21</v>
      </c>
      <c r="O307" t="s">
        <v>25</v>
      </c>
      <c r="P307" s="10">
        <v>45383</v>
      </c>
      <c r="Q307">
        <v>201991.8</v>
      </c>
      <c r="R307">
        <v>0</v>
      </c>
      <c r="S307" t="s">
        <v>1098</v>
      </c>
      <c r="T307" t="s">
        <v>1095</v>
      </c>
    </row>
    <row r="308" spans="1:20" x14ac:dyDescent="0.3">
      <c r="A308" t="s">
        <v>702</v>
      </c>
      <c r="B308">
        <v>311363</v>
      </c>
      <c r="C308" t="s">
        <v>703</v>
      </c>
      <c r="D308">
        <v>985206008802</v>
      </c>
      <c r="E308" t="s">
        <v>35</v>
      </c>
      <c r="F308" t="s">
        <v>42</v>
      </c>
      <c r="G308" t="s">
        <v>43</v>
      </c>
      <c r="H308" t="s">
        <v>67</v>
      </c>
      <c r="I308" t="s">
        <v>22</v>
      </c>
      <c r="J308">
        <v>460250.13</v>
      </c>
      <c r="K308" t="s">
        <v>98</v>
      </c>
      <c r="L308" s="10">
        <v>45371</v>
      </c>
      <c r="M308" t="s">
        <v>24</v>
      </c>
      <c r="N308">
        <v>1506146.94</v>
      </c>
      <c r="O308" t="s">
        <v>179</v>
      </c>
      <c r="P308" s="10">
        <v>45352</v>
      </c>
      <c r="Q308">
        <v>460250.13</v>
      </c>
      <c r="R308">
        <v>1</v>
      </c>
      <c r="S308" t="s">
        <v>1098</v>
      </c>
      <c r="T308" t="s">
        <v>1095</v>
      </c>
    </row>
    <row r="309" spans="1:20" x14ac:dyDescent="0.3">
      <c r="A309" t="s">
        <v>704</v>
      </c>
      <c r="B309">
        <v>462822</v>
      </c>
      <c r="C309" t="s">
        <v>705</v>
      </c>
      <c r="D309">
        <v>119278894333</v>
      </c>
      <c r="E309" t="s">
        <v>18</v>
      </c>
      <c r="F309" t="s">
        <v>46</v>
      </c>
      <c r="G309" t="s">
        <v>47</v>
      </c>
      <c r="H309" t="s">
        <v>31</v>
      </c>
      <c r="I309" t="s">
        <v>53</v>
      </c>
      <c r="J309">
        <v>13160.06</v>
      </c>
      <c r="K309" t="s">
        <v>23</v>
      </c>
      <c r="L309" s="10">
        <v>45709</v>
      </c>
      <c r="M309" t="s">
        <v>24</v>
      </c>
      <c r="N309">
        <v>1579591.09</v>
      </c>
      <c r="O309" t="s">
        <v>25</v>
      </c>
      <c r="P309" s="10">
        <v>45689</v>
      </c>
      <c r="Q309">
        <v>13160.06</v>
      </c>
      <c r="R309">
        <v>0</v>
      </c>
      <c r="S309" t="s">
        <v>1097</v>
      </c>
      <c r="T309" t="s">
        <v>1095</v>
      </c>
    </row>
    <row r="310" spans="1:20" x14ac:dyDescent="0.3">
      <c r="A310" t="s">
        <v>706</v>
      </c>
      <c r="B310">
        <v>712345</v>
      </c>
      <c r="C310" t="s">
        <v>707</v>
      </c>
      <c r="D310">
        <v>279271808282</v>
      </c>
      <c r="E310" t="s">
        <v>35</v>
      </c>
      <c r="F310" t="s">
        <v>36</v>
      </c>
      <c r="G310" t="s">
        <v>37</v>
      </c>
      <c r="H310" t="s">
        <v>21</v>
      </c>
      <c r="I310" t="s">
        <v>22</v>
      </c>
      <c r="J310">
        <v>525074.59</v>
      </c>
      <c r="K310" t="s">
        <v>23</v>
      </c>
      <c r="L310" s="10">
        <v>45315</v>
      </c>
      <c r="M310" t="s">
        <v>24</v>
      </c>
      <c r="N310">
        <v>938423.33</v>
      </c>
      <c r="O310" t="s">
        <v>25</v>
      </c>
      <c r="P310" s="10">
        <v>45292</v>
      </c>
      <c r="Q310">
        <v>525074.59</v>
      </c>
      <c r="R310">
        <v>0</v>
      </c>
      <c r="S310" t="s">
        <v>1097</v>
      </c>
      <c r="T310" t="s">
        <v>1095</v>
      </c>
    </row>
    <row r="311" spans="1:20" x14ac:dyDescent="0.3">
      <c r="A311" t="s">
        <v>708</v>
      </c>
      <c r="B311">
        <v>113883</v>
      </c>
      <c r="C311" t="s">
        <v>709</v>
      </c>
      <c r="D311">
        <v>823851213066</v>
      </c>
      <c r="E311" t="s">
        <v>35</v>
      </c>
      <c r="F311" t="s">
        <v>36</v>
      </c>
      <c r="G311" t="s">
        <v>37</v>
      </c>
      <c r="H311" t="s">
        <v>70</v>
      </c>
      <c r="I311" t="s">
        <v>48</v>
      </c>
      <c r="J311">
        <v>124890</v>
      </c>
      <c r="K311" t="s">
        <v>49</v>
      </c>
      <c r="L311" s="10">
        <v>45477</v>
      </c>
      <c r="M311" t="s">
        <v>24</v>
      </c>
      <c r="N311">
        <v>431745.3</v>
      </c>
      <c r="O311" t="s">
        <v>25</v>
      </c>
      <c r="P311" s="10">
        <v>45474</v>
      </c>
      <c r="Q311">
        <v>124890</v>
      </c>
      <c r="R311">
        <v>0</v>
      </c>
      <c r="S311" t="s">
        <v>1098</v>
      </c>
      <c r="T311" t="s">
        <v>1095</v>
      </c>
    </row>
    <row r="312" spans="1:20" x14ac:dyDescent="0.3">
      <c r="A312" t="s">
        <v>710</v>
      </c>
      <c r="B312">
        <v>339747</v>
      </c>
      <c r="C312" t="s">
        <v>711</v>
      </c>
      <c r="D312">
        <v>702582639068</v>
      </c>
      <c r="E312" t="s">
        <v>64</v>
      </c>
      <c r="F312" t="s">
        <v>177</v>
      </c>
      <c r="G312" t="s">
        <v>178</v>
      </c>
      <c r="H312" t="s">
        <v>21</v>
      </c>
      <c r="I312" t="s">
        <v>53</v>
      </c>
      <c r="J312">
        <v>96128.29</v>
      </c>
      <c r="K312" t="s">
        <v>98</v>
      </c>
      <c r="L312" s="10">
        <v>45378</v>
      </c>
      <c r="M312" t="s">
        <v>24</v>
      </c>
      <c r="N312">
        <v>311631.5</v>
      </c>
      <c r="O312" t="s">
        <v>25</v>
      </c>
      <c r="P312" s="10">
        <v>45352</v>
      </c>
      <c r="Q312">
        <v>96128.29</v>
      </c>
      <c r="R312">
        <v>0</v>
      </c>
      <c r="S312" t="s">
        <v>1098</v>
      </c>
      <c r="T312" t="s">
        <v>1095</v>
      </c>
    </row>
    <row r="313" spans="1:20" x14ac:dyDescent="0.3">
      <c r="A313" t="s">
        <v>712</v>
      </c>
      <c r="B313">
        <v>124171</v>
      </c>
      <c r="C313" t="s">
        <v>713</v>
      </c>
      <c r="D313">
        <v>103490076984</v>
      </c>
      <c r="E313" t="s">
        <v>91</v>
      </c>
      <c r="F313" t="s">
        <v>105</v>
      </c>
      <c r="G313" t="s">
        <v>106</v>
      </c>
      <c r="H313" t="s">
        <v>70</v>
      </c>
      <c r="I313" t="s">
        <v>48</v>
      </c>
      <c r="J313">
        <v>78134.240000000005</v>
      </c>
      <c r="K313" t="s">
        <v>23</v>
      </c>
      <c r="L313" s="10">
        <v>45595</v>
      </c>
      <c r="M313" t="s">
        <v>24</v>
      </c>
      <c r="N313">
        <v>1325069.24</v>
      </c>
      <c r="O313" t="s">
        <v>25</v>
      </c>
      <c r="P313" s="10">
        <v>45566</v>
      </c>
      <c r="Q313">
        <v>78134.240000000005</v>
      </c>
      <c r="R313">
        <v>0</v>
      </c>
      <c r="S313" t="s">
        <v>1097</v>
      </c>
      <c r="T313" t="s">
        <v>1095</v>
      </c>
    </row>
    <row r="314" spans="1:20" x14ac:dyDescent="0.3">
      <c r="A314" t="s">
        <v>714</v>
      </c>
      <c r="B314">
        <v>805755</v>
      </c>
      <c r="C314" t="s">
        <v>715</v>
      </c>
      <c r="D314">
        <v>490291230378</v>
      </c>
      <c r="E314" t="s">
        <v>91</v>
      </c>
      <c r="F314" t="s">
        <v>162</v>
      </c>
      <c r="G314" t="s">
        <v>163</v>
      </c>
      <c r="H314" t="s">
        <v>31</v>
      </c>
      <c r="I314" t="s">
        <v>22</v>
      </c>
      <c r="J314">
        <v>112622.64</v>
      </c>
      <c r="K314" t="s">
        <v>98</v>
      </c>
      <c r="L314" s="10">
        <v>45332</v>
      </c>
      <c r="M314" t="s">
        <v>50</v>
      </c>
      <c r="N314">
        <v>1684299.3</v>
      </c>
      <c r="O314" t="s">
        <v>25</v>
      </c>
      <c r="P314" s="10">
        <v>45323</v>
      </c>
      <c r="Q314">
        <v>112622.64</v>
      </c>
      <c r="R314">
        <v>0</v>
      </c>
      <c r="S314" t="s">
        <v>1098</v>
      </c>
      <c r="T314" t="s">
        <v>1095</v>
      </c>
    </row>
    <row r="315" spans="1:20" x14ac:dyDescent="0.3">
      <c r="A315" t="s">
        <v>716</v>
      </c>
      <c r="B315">
        <v>596468</v>
      </c>
      <c r="C315" t="s">
        <v>717</v>
      </c>
      <c r="D315">
        <v>772077329179</v>
      </c>
      <c r="E315" t="s">
        <v>64</v>
      </c>
      <c r="F315" t="s">
        <v>83</v>
      </c>
      <c r="G315" t="s">
        <v>84</v>
      </c>
      <c r="H315" t="s">
        <v>31</v>
      </c>
      <c r="I315" t="s">
        <v>53</v>
      </c>
      <c r="J315">
        <v>406595</v>
      </c>
      <c r="K315" t="s">
        <v>49</v>
      </c>
      <c r="L315" s="10">
        <v>45576</v>
      </c>
      <c r="M315" t="s">
        <v>24</v>
      </c>
      <c r="N315">
        <v>585059.64</v>
      </c>
      <c r="O315" t="s">
        <v>25</v>
      </c>
      <c r="P315" s="10">
        <v>45566</v>
      </c>
      <c r="Q315">
        <v>406595</v>
      </c>
      <c r="R315">
        <v>0</v>
      </c>
      <c r="S315" t="s">
        <v>1098</v>
      </c>
      <c r="T315" t="s">
        <v>1095</v>
      </c>
    </row>
    <row r="316" spans="1:20" x14ac:dyDescent="0.3">
      <c r="A316" t="s">
        <v>718</v>
      </c>
      <c r="B316">
        <v>111146</v>
      </c>
      <c r="C316" t="s">
        <v>719</v>
      </c>
      <c r="D316">
        <v>555859409829</v>
      </c>
      <c r="E316" t="s">
        <v>91</v>
      </c>
      <c r="F316" t="s">
        <v>130</v>
      </c>
      <c r="G316" t="s">
        <v>131</v>
      </c>
      <c r="H316" t="s">
        <v>67</v>
      </c>
      <c r="I316" t="s">
        <v>38</v>
      </c>
      <c r="J316">
        <v>67907.710000000006</v>
      </c>
      <c r="K316" t="s">
        <v>23</v>
      </c>
      <c r="L316" s="10">
        <v>45829</v>
      </c>
      <c r="M316" t="s">
        <v>24</v>
      </c>
      <c r="N316">
        <v>400650.52</v>
      </c>
      <c r="O316" t="s">
        <v>25</v>
      </c>
      <c r="P316" s="10">
        <v>45809</v>
      </c>
      <c r="Q316">
        <v>-67907.710000000006</v>
      </c>
      <c r="R316">
        <v>0</v>
      </c>
      <c r="S316" t="s">
        <v>1097</v>
      </c>
      <c r="T316" t="s">
        <v>1095</v>
      </c>
    </row>
    <row r="317" spans="1:20" x14ac:dyDescent="0.3">
      <c r="A317" t="s">
        <v>720</v>
      </c>
      <c r="B317">
        <v>479530</v>
      </c>
      <c r="C317" t="s">
        <v>721</v>
      </c>
      <c r="D317">
        <v>724249667582</v>
      </c>
      <c r="E317" t="s">
        <v>91</v>
      </c>
      <c r="F317" t="s">
        <v>105</v>
      </c>
      <c r="G317" t="s">
        <v>106</v>
      </c>
      <c r="H317" t="s">
        <v>67</v>
      </c>
      <c r="I317" t="s">
        <v>38</v>
      </c>
      <c r="J317">
        <v>7625.81</v>
      </c>
      <c r="K317" t="s">
        <v>32</v>
      </c>
      <c r="L317" s="10">
        <v>45374</v>
      </c>
      <c r="M317" t="s">
        <v>24</v>
      </c>
      <c r="N317">
        <v>788581.85</v>
      </c>
      <c r="O317" t="s">
        <v>25</v>
      </c>
      <c r="P317" s="10">
        <v>45352</v>
      </c>
      <c r="Q317">
        <v>-7625.81</v>
      </c>
      <c r="R317">
        <v>0</v>
      </c>
      <c r="S317" t="s">
        <v>1098</v>
      </c>
      <c r="T317" t="s">
        <v>1095</v>
      </c>
    </row>
    <row r="318" spans="1:20" x14ac:dyDescent="0.3">
      <c r="A318" t="s">
        <v>722</v>
      </c>
      <c r="B318">
        <v>937519</v>
      </c>
      <c r="C318" t="s">
        <v>723</v>
      </c>
      <c r="D318">
        <v>902094706216</v>
      </c>
      <c r="E318" t="s">
        <v>64</v>
      </c>
      <c r="F318" t="s">
        <v>166</v>
      </c>
      <c r="G318" t="s">
        <v>167</v>
      </c>
      <c r="H318" t="s">
        <v>31</v>
      </c>
      <c r="I318" t="s">
        <v>22</v>
      </c>
      <c r="J318">
        <v>24749.02</v>
      </c>
      <c r="K318" t="s">
        <v>39</v>
      </c>
      <c r="L318" s="10">
        <v>45708</v>
      </c>
      <c r="M318" t="s">
        <v>24</v>
      </c>
      <c r="N318">
        <v>239240.66</v>
      </c>
      <c r="O318" t="s">
        <v>25</v>
      </c>
      <c r="P318" s="10">
        <v>45689</v>
      </c>
      <c r="Q318">
        <v>24749.02</v>
      </c>
      <c r="R318">
        <v>0</v>
      </c>
      <c r="S318" t="s">
        <v>1098</v>
      </c>
      <c r="T318" t="s">
        <v>1095</v>
      </c>
    </row>
    <row r="319" spans="1:20" x14ac:dyDescent="0.3">
      <c r="A319" t="s">
        <v>724</v>
      </c>
      <c r="B319">
        <v>557246</v>
      </c>
      <c r="C319" t="s">
        <v>725</v>
      </c>
      <c r="D319">
        <v>565539620553</v>
      </c>
      <c r="E319" t="s">
        <v>18</v>
      </c>
      <c r="F319" t="s">
        <v>19</v>
      </c>
      <c r="G319" t="s">
        <v>20</v>
      </c>
      <c r="H319" t="s">
        <v>70</v>
      </c>
      <c r="I319" t="s">
        <v>38</v>
      </c>
      <c r="J319">
        <v>46462.29</v>
      </c>
      <c r="K319" t="s">
        <v>98</v>
      </c>
      <c r="L319" s="10">
        <v>45608</v>
      </c>
      <c r="M319" t="s">
        <v>24</v>
      </c>
      <c r="N319">
        <v>1272270</v>
      </c>
      <c r="O319" t="s">
        <v>25</v>
      </c>
      <c r="P319" s="10">
        <v>45597</v>
      </c>
      <c r="Q319">
        <v>-46462.29</v>
      </c>
      <c r="R319">
        <v>0</v>
      </c>
      <c r="S319" t="s">
        <v>1098</v>
      </c>
      <c r="T319" t="s">
        <v>1095</v>
      </c>
    </row>
    <row r="320" spans="1:20" x14ac:dyDescent="0.3">
      <c r="A320" t="s">
        <v>726</v>
      </c>
      <c r="B320">
        <v>959323</v>
      </c>
      <c r="C320" t="s">
        <v>727</v>
      </c>
      <c r="D320">
        <v>432335197720</v>
      </c>
      <c r="E320" t="s">
        <v>28</v>
      </c>
      <c r="F320" t="s">
        <v>150</v>
      </c>
      <c r="G320" t="s">
        <v>151</v>
      </c>
      <c r="H320" t="s">
        <v>21</v>
      </c>
      <c r="I320" t="s">
        <v>53</v>
      </c>
      <c r="J320">
        <v>306121.71000000002</v>
      </c>
      <c r="K320" t="s">
        <v>49</v>
      </c>
      <c r="L320" s="10">
        <v>45338</v>
      </c>
      <c r="M320" t="s">
        <v>24</v>
      </c>
      <c r="N320">
        <v>648457.01</v>
      </c>
      <c r="O320" t="s">
        <v>25</v>
      </c>
      <c r="P320" s="10">
        <v>45323</v>
      </c>
      <c r="Q320">
        <v>306121.71000000002</v>
      </c>
      <c r="R320">
        <v>0</v>
      </c>
      <c r="S320" t="s">
        <v>1098</v>
      </c>
      <c r="T320" t="s">
        <v>1095</v>
      </c>
    </row>
    <row r="321" spans="1:20" x14ac:dyDescent="0.3">
      <c r="A321" t="s">
        <v>728</v>
      </c>
      <c r="B321">
        <v>931835</v>
      </c>
      <c r="C321" t="s">
        <v>729</v>
      </c>
      <c r="D321">
        <v>130206487294</v>
      </c>
      <c r="E321" t="s">
        <v>35</v>
      </c>
      <c r="F321" t="s">
        <v>73</v>
      </c>
      <c r="G321" t="s">
        <v>74</v>
      </c>
      <c r="H321" t="s">
        <v>67</v>
      </c>
      <c r="I321" t="s">
        <v>38</v>
      </c>
      <c r="J321">
        <v>26846.38</v>
      </c>
      <c r="K321" t="s">
        <v>32</v>
      </c>
      <c r="L321" s="10">
        <v>45716</v>
      </c>
      <c r="M321" t="s">
        <v>24</v>
      </c>
      <c r="N321">
        <v>278385.8</v>
      </c>
      <c r="O321" t="s">
        <v>25</v>
      </c>
      <c r="P321" s="10">
        <v>45689</v>
      </c>
      <c r="Q321">
        <v>-26846.38</v>
      </c>
      <c r="R321">
        <v>0</v>
      </c>
      <c r="S321" t="s">
        <v>1098</v>
      </c>
      <c r="T321" t="s">
        <v>1095</v>
      </c>
    </row>
    <row r="322" spans="1:20" x14ac:dyDescent="0.3">
      <c r="A322" t="s">
        <v>730</v>
      </c>
      <c r="B322">
        <v>181715</v>
      </c>
      <c r="C322" t="s">
        <v>731</v>
      </c>
      <c r="D322">
        <v>924632714359</v>
      </c>
      <c r="E322" t="s">
        <v>18</v>
      </c>
      <c r="F322" t="s">
        <v>19</v>
      </c>
      <c r="G322" t="s">
        <v>20</v>
      </c>
      <c r="H322" t="s">
        <v>31</v>
      </c>
      <c r="I322" t="s">
        <v>22</v>
      </c>
      <c r="J322">
        <v>181640.7</v>
      </c>
      <c r="K322" t="s">
        <v>98</v>
      </c>
      <c r="L322" s="10">
        <v>45537</v>
      </c>
      <c r="M322" t="s">
        <v>24</v>
      </c>
      <c r="N322">
        <v>458407.24</v>
      </c>
      <c r="O322" t="s">
        <v>25</v>
      </c>
      <c r="P322" s="10">
        <v>45536</v>
      </c>
      <c r="Q322">
        <v>181640.7</v>
      </c>
      <c r="R322">
        <v>0</v>
      </c>
      <c r="S322" t="s">
        <v>1098</v>
      </c>
      <c r="T322" t="s">
        <v>1095</v>
      </c>
    </row>
    <row r="323" spans="1:20" x14ac:dyDescent="0.3">
      <c r="A323" t="s">
        <v>732</v>
      </c>
      <c r="B323">
        <v>300670</v>
      </c>
      <c r="C323" t="s">
        <v>733</v>
      </c>
      <c r="D323">
        <v>477182324308</v>
      </c>
      <c r="E323" t="s">
        <v>91</v>
      </c>
      <c r="F323" t="s">
        <v>105</v>
      </c>
      <c r="G323" t="s">
        <v>106</v>
      </c>
      <c r="H323" t="s">
        <v>70</v>
      </c>
      <c r="I323" t="s">
        <v>53</v>
      </c>
      <c r="J323">
        <v>17763.02</v>
      </c>
      <c r="K323" t="s">
        <v>98</v>
      </c>
      <c r="L323" s="10">
        <v>45413</v>
      </c>
      <c r="M323" t="s">
        <v>24</v>
      </c>
      <c r="N323">
        <v>841969.9</v>
      </c>
      <c r="O323" t="s">
        <v>25</v>
      </c>
      <c r="P323" s="10">
        <v>45413</v>
      </c>
      <c r="Q323">
        <v>17763.02</v>
      </c>
      <c r="R323">
        <v>0</v>
      </c>
      <c r="S323" t="s">
        <v>1098</v>
      </c>
      <c r="T323" t="s">
        <v>1095</v>
      </c>
    </row>
    <row r="324" spans="1:20" x14ac:dyDescent="0.3">
      <c r="A324" t="s">
        <v>734</v>
      </c>
      <c r="B324">
        <v>405161</v>
      </c>
      <c r="C324" t="s">
        <v>735</v>
      </c>
      <c r="D324">
        <v>476384442388</v>
      </c>
      <c r="E324" t="s">
        <v>91</v>
      </c>
      <c r="F324" t="s">
        <v>109</v>
      </c>
      <c r="G324" t="s">
        <v>110</v>
      </c>
      <c r="H324" t="s">
        <v>67</v>
      </c>
      <c r="I324" t="s">
        <v>22</v>
      </c>
      <c r="J324">
        <v>367978.86</v>
      </c>
      <c r="K324" t="s">
        <v>23</v>
      </c>
      <c r="L324" s="10">
        <v>45248</v>
      </c>
      <c r="M324" t="s">
        <v>24</v>
      </c>
      <c r="N324">
        <v>840788.77</v>
      </c>
      <c r="O324" t="s">
        <v>25</v>
      </c>
      <c r="P324" s="10">
        <v>45231</v>
      </c>
      <c r="Q324">
        <v>367978.86</v>
      </c>
      <c r="R324">
        <v>0</v>
      </c>
      <c r="S324" t="s">
        <v>1097</v>
      </c>
      <c r="T324" t="s">
        <v>1095</v>
      </c>
    </row>
    <row r="325" spans="1:20" x14ac:dyDescent="0.3">
      <c r="A325" t="s">
        <v>736</v>
      </c>
      <c r="B325">
        <v>981665</v>
      </c>
      <c r="C325" t="s">
        <v>737</v>
      </c>
      <c r="D325">
        <v>126907120490</v>
      </c>
      <c r="E325" t="s">
        <v>35</v>
      </c>
      <c r="F325" t="s">
        <v>136</v>
      </c>
      <c r="G325" t="s">
        <v>137</v>
      </c>
      <c r="H325" t="s">
        <v>31</v>
      </c>
      <c r="I325" t="s">
        <v>22</v>
      </c>
      <c r="J325">
        <v>212325.1</v>
      </c>
      <c r="K325" t="s">
        <v>23</v>
      </c>
      <c r="L325" s="10">
        <v>45761</v>
      </c>
      <c r="M325" t="s">
        <v>24</v>
      </c>
      <c r="N325">
        <v>1118140.79</v>
      </c>
      <c r="O325" t="s">
        <v>25</v>
      </c>
      <c r="P325" s="10">
        <v>45748</v>
      </c>
      <c r="Q325">
        <v>212325.1</v>
      </c>
      <c r="R325">
        <v>0</v>
      </c>
      <c r="S325" t="s">
        <v>1097</v>
      </c>
      <c r="T325" t="s">
        <v>1095</v>
      </c>
    </row>
    <row r="326" spans="1:20" x14ac:dyDescent="0.3">
      <c r="A326" t="s">
        <v>738</v>
      </c>
      <c r="B326">
        <v>355753</v>
      </c>
      <c r="C326" t="s">
        <v>739</v>
      </c>
      <c r="D326">
        <v>882143942859</v>
      </c>
      <c r="E326" t="s">
        <v>18</v>
      </c>
      <c r="F326" t="s">
        <v>87</v>
      </c>
      <c r="G326" t="s">
        <v>88</v>
      </c>
      <c r="H326" t="s">
        <v>21</v>
      </c>
      <c r="I326" t="s">
        <v>38</v>
      </c>
      <c r="J326">
        <v>47698.28</v>
      </c>
      <c r="K326" t="s">
        <v>32</v>
      </c>
      <c r="L326" s="10">
        <v>45434</v>
      </c>
      <c r="M326" t="s">
        <v>24</v>
      </c>
      <c r="N326">
        <v>642724.73</v>
      </c>
      <c r="O326" t="s">
        <v>25</v>
      </c>
      <c r="P326" s="10">
        <v>45413</v>
      </c>
      <c r="Q326">
        <v>-47698.28</v>
      </c>
      <c r="R326">
        <v>0</v>
      </c>
      <c r="S326" t="s">
        <v>1098</v>
      </c>
      <c r="T326" t="s">
        <v>1095</v>
      </c>
    </row>
    <row r="327" spans="1:20" x14ac:dyDescent="0.3">
      <c r="A327" t="s">
        <v>740</v>
      </c>
      <c r="B327">
        <v>159266</v>
      </c>
      <c r="C327" t="s">
        <v>741</v>
      </c>
      <c r="D327">
        <v>133268629842</v>
      </c>
      <c r="E327" t="s">
        <v>28</v>
      </c>
      <c r="F327" t="s">
        <v>79</v>
      </c>
      <c r="G327" t="s">
        <v>80</v>
      </c>
      <c r="H327" t="s">
        <v>70</v>
      </c>
      <c r="I327" t="s">
        <v>48</v>
      </c>
      <c r="J327">
        <v>163974.37</v>
      </c>
      <c r="K327" t="s">
        <v>23</v>
      </c>
      <c r="L327" s="10">
        <v>45618</v>
      </c>
      <c r="M327" t="s">
        <v>24</v>
      </c>
      <c r="N327">
        <v>2009108.15</v>
      </c>
      <c r="O327" t="s">
        <v>25</v>
      </c>
      <c r="P327" s="10">
        <v>45597</v>
      </c>
      <c r="Q327">
        <v>163974.37</v>
      </c>
      <c r="R327">
        <v>0</v>
      </c>
      <c r="S327" t="s">
        <v>1097</v>
      </c>
      <c r="T327" t="s">
        <v>1095</v>
      </c>
    </row>
    <row r="328" spans="1:20" x14ac:dyDescent="0.3">
      <c r="A328" t="s">
        <v>742</v>
      </c>
      <c r="B328">
        <v>879301</v>
      </c>
      <c r="C328" t="s">
        <v>743</v>
      </c>
      <c r="D328">
        <v>433805514591</v>
      </c>
      <c r="E328" t="s">
        <v>35</v>
      </c>
      <c r="F328" t="s">
        <v>42</v>
      </c>
      <c r="G328" t="s">
        <v>43</v>
      </c>
      <c r="H328" t="s">
        <v>67</v>
      </c>
      <c r="I328" t="s">
        <v>22</v>
      </c>
      <c r="J328">
        <v>189190.47</v>
      </c>
      <c r="K328" t="s">
        <v>39</v>
      </c>
      <c r="L328" s="10">
        <v>45599</v>
      </c>
      <c r="M328" t="s">
        <v>24</v>
      </c>
      <c r="N328">
        <v>1036192.27</v>
      </c>
      <c r="O328" t="s">
        <v>25</v>
      </c>
      <c r="P328" s="10">
        <v>45597</v>
      </c>
      <c r="Q328">
        <v>189190.47</v>
      </c>
      <c r="R328">
        <v>0</v>
      </c>
      <c r="S328" t="s">
        <v>1098</v>
      </c>
      <c r="T328" t="s">
        <v>1095</v>
      </c>
    </row>
    <row r="329" spans="1:20" x14ac:dyDescent="0.3">
      <c r="A329" t="s">
        <v>744</v>
      </c>
      <c r="B329">
        <v>116476</v>
      </c>
      <c r="C329" t="s">
        <v>745</v>
      </c>
      <c r="D329">
        <v>406498403510</v>
      </c>
      <c r="E329" t="s">
        <v>91</v>
      </c>
      <c r="F329" t="s">
        <v>162</v>
      </c>
      <c r="G329" t="s">
        <v>163</v>
      </c>
      <c r="H329" t="s">
        <v>31</v>
      </c>
      <c r="I329" t="s">
        <v>53</v>
      </c>
      <c r="J329">
        <v>129890.57</v>
      </c>
      <c r="K329" t="s">
        <v>23</v>
      </c>
      <c r="L329" s="10">
        <v>45598</v>
      </c>
      <c r="M329" t="s">
        <v>24</v>
      </c>
      <c r="N329">
        <v>1438950.54</v>
      </c>
      <c r="O329" t="s">
        <v>25</v>
      </c>
      <c r="P329" s="10">
        <v>45597</v>
      </c>
      <c r="Q329">
        <v>129890.57</v>
      </c>
      <c r="R329">
        <v>0</v>
      </c>
      <c r="S329" t="s">
        <v>1097</v>
      </c>
      <c r="T329" t="s">
        <v>1095</v>
      </c>
    </row>
    <row r="330" spans="1:20" x14ac:dyDescent="0.3">
      <c r="A330" t="s">
        <v>746</v>
      </c>
      <c r="B330">
        <v>981915</v>
      </c>
      <c r="C330" t="s">
        <v>747</v>
      </c>
      <c r="D330">
        <v>577554548613</v>
      </c>
      <c r="E330" t="s">
        <v>28</v>
      </c>
      <c r="F330" t="s">
        <v>150</v>
      </c>
      <c r="G330" t="s">
        <v>151</v>
      </c>
      <c r="H330" t="s">
        <v>31</v>
      </c>
      <c r="I330" t="s">
        <v>48</v>
      </c>
      <c r="J330">
        <v>254514.65</v>
      </c>
      <c r="K330" t="s">
        <v>49</v>
      </c>
      <c r="L330" s="10">
        <v>45153</v>
      </c>
      <c r="M330" t="s">
        <v>24</v>
      </c>
      <c r="N330">
        <v>318461.15000000002</v>
      </c>
      <c r="O330" t="s">
        <v>25</v>
      </c>
      <c r="P330" s="10">
        <v>45139</v>
      </c>
      <c r="Q330">
        <v>254514.65</v>
      </c>
      <c r="R330">
        <v>0</v>
      </c>
      <c r="S330" t="s">
        <v>1098</v>
      </c>
      <c r="T330" t="s">
        <v>1095</v>
      </c>
    </row>
    <row r="331" spans="1:20" x14ac:dyDescent="0.3">
      <c r="A331" t="s">
        <v>748</v>
      </c>
      <c r="B331">
        <v>569629</v>
      </c>
      <c r="C331" t="s">
        <v>749</v>
      </c>
      <c r="D331">
        <v>884210811039</v>
      </c>
      <c r="E331" t="s">
        <v>64</v>
      </c>
      <c r="F331" t="s">
        <v>166</v>
      </c>
      <c r="G331" t="s">
        <v>167</v>
      </c>
      <c r="H331" t="s">
        <v>31</v>
      </c>
      <c r="I331" t="s">
        <v>38</v>
      </c>
      <c r="J331">
        <v>95419.02</v>
      </c>
      <c r="K331" t="s">
        <v>98</v>
      </c>
      <c r="L331" s="10">
        <v>45185</v>
      </c>
      <c r="M331" t="s">
        <v>24</v>
      </c>
      <c r="N331">
        <v>167769.03</v>
      </c>
      <c r="O331" t="s">
        <v>25</v>
      </c>
      <c r="P331" s="10">
        <v>45170</v>
      </c>
      <c r="Q331">
        <v>-95419.02</v>
      </c>
      <c r="R331">
        <v>0</v>
      </c>
      <c r="S331" t="s">
        <v>1098</v>
      </c>
      <c r="T331" t="s">
        <v>1095</v>
      </c>
    </row>
    <row r="332" spans="1:20" x14ac:dyDescent="0.3">
      <c r="A332" t="s">
        <v>750</v>
      </c>
      <c r="B332">
        <v>143218</v>
      </c>
      <c r="C332" t="s">
        <v>751</v>
      </c>
      <c r="D332">
        <v>428200261572</v>
      </c>
      <c r="E332" t="s">
        <v>35</v>
      </c>
      <c r="F332" t="s">
        <v>136</v>
      </c>
      <c r="G332" t="s">
        <v>137</v>
      </c>
      <c r="H332" t="s">
        <v>67</v>
      </c>
      <c r="I332" t="s">
        <v>38</v>
      </c>
      <c r="J332">
        <v>58414.13</v>
      </c>
      <c r="K332" t="s">
        <v>98</v>
      </c>
      <c r="L332" s="10">
        <v>45835</v>
      </c>
      <c r="M332" t="s">
        <v>24</v>
      </c>
      <c r="N332">
        <v>918862.34</v>
      </c>
      <c r="O332" t="s">
        <v>25</v>
      </c>
      <c r="P332" s="10">
        <v>45809</v>
      </c>
      <c r="Q332">
        <v>-58414.13</v>
      </c>
      <c r="R332">
        <v>0</v>
      </c>
      <c r="S332" t="s">
        <v>1098</v>
      </c>
      <c r="T332" t="s">
        <v>1095</v>
      </c>
    </row>
    <row r="333" spans="1:20" x14ac:dyDescent="0.3">
      <c r="A333" t="s">
        <v>752</v>
      </c>
      <c r="B333">
        <v>985381</v>
      </c>
      <c r="C333" t="s">
        <v>753</v>
      </c>
      <c r="D333">
        <v>113639393827</v>
      </c>
      <c r="E333" t="s">
        <v>91</v>
      </c>
      <c r="F333" t="s">
        <v>109</v>
      </c>
      <c r="G333" t="s">
        <v>110</v>
      </c>
      <c r="H333" t="s">
        <v>31</v>
      </c>
      <c r="I333" t="s">
        <v>53</v>
      </c>
      <c r="J333">
        <v>469814.95</v>
      </c>
      <c r="K333" t="s">
        <v>49</v>
      </c>
      <c r="L333" s="10">
        <v>45131</v>
      </c>
      <c r="M333" t="s">
        <v>50</v>
      </c>
      <c r="N333">
        <v>1904176.83</v>
      </c>
      <c r="O333" t="s">
        <v>25</v>
      </c>
      <c r="P333" s="10">
        <v>45108</v>
      </c>
      <c r="Q333">
        <v>469814.95</v>
      </c>
      <c r="R333">
        <v>0</v>
      </c>
      <c r="S333" t="s">
        <v>1098</v>
      </c>
      <c r="T333" t="s">
        <v>1095</v>
      </c>
    </row>
    <row r="334" spans="1:20" x14ac:dyDescent="0.3">
      <c r="A334" t="s">
        <v>754</v>
      </c>
      <c r="B334">
        <v>894517</v>
      </c>
      <c r="C334" t="s">
        <v>755</v>
      </c>
      <c r="D334">
        <v>633651930756</v>
      </c>
      <c r="E334" t="s">
        <v>28</v>
      </c>
      <c r="F334" t="s">
        <v>216</v>
      </c>
      <c r="G334" t="s">
        <v>217</v>
      </c>
      <c r="H334" t="s">
        <v>21</v>
      </c>
      <c r="I334" t="s">
        <v>53</v>
      </c>
      <c r="J334">
        <v>202988.35</v>
      </c>
      <c r="K334" t="s">
        <v>39</v>
      </c>
      <c r="L334" s="10">
        <v>45268</v>
      </c>
      <c r="M334" t="s">
        <v>24</v>
      </c>
      <c r="N334">
        <v>1426448.54</v>
      </c>
      <c r="O334" t="s">
        <v>25</v>
      </c>
      <c r="P334" s="10">
        <v>45261</v>
      </c>
      <c r="Q334">
        <v>202988.35</v>
      </c>
      <c r="R334">
        <v>0</v>
      </c>
      <c r="S334" t="s">
        <v>1098</v>
      </c>
      <c r="T334" t="s">
        <v>1095</v>
      </c>
    </row>
    <row r="335" spans="1:20" x14ac:dyDescent="0.3">
      <c r="A335" t="s">
        <v>756</v>
      </c>
      <c r="B335">
        <v>179518</v>
      </c>
      <c r="C335" t="s">
        <v>757</v>
      </c>
      <c r="D335">
        <v>388268391021</v>
      </c>
      <c r="E335" t="s">
        <v>35</v>
      </c>
      <c r="F335" t="s">
        <v>60</v>
      </c>
      <c r="G335" t="s">
        <v>61</v>
      </c>
      <c r="H335" t="s">
        <v>31</v>
      </c>
      <c r="I335" t="s">
        <v>38</v>
      </c>
      <c r="J335">
        <v>68829.84</v>
      </c>
      <c r="K335" t="s">
        <v>32</v>
      </c>
      <c r="L335" s="10">
        <v>45705</v>
      </c>
      <c r="M335" t="s">
        <v>24</v>
      </c>
      <c r="N335">
        <v>5539.5400000000081</v>
      </c>
      <c r="O335" t="s">
        <v>25</v>
      </c>
      <c r="P335" s="10">
        <v>45689</v>
      </c>
      <c r="Q335">
        <v>-68829.84</v>
      </c>
      <c r="R335">
        <v>0</v>
      </c>
      <c r="S335" t="s">
        <v>1098</v>
      </c>
      <c r="T335" t="s">
        <v>1095</v>
      </c>
    </row>
    <row r="336" spans="1:20" x14ac:dyDescent="0.3">
      <c r="A336" t="s">
        <v>758</v>
      </c>
      <c r="B336">
        <v>224498</v>
      </c>
      <c r="C336" t="s">
        <v>759</v>
      </c>
      <c r="D336">
        <v>600039500647</v>
      </c>
      <c r="E336" t="s">
        <v>28</v>
      </c>
      <c r="F336" t="s">
        <v>29</v>
      </c>
      <c r="G336" t="s">
        <v>30</v>
      </c>
      <c r="H336" t="s">
        <v>67</v>
      </c>
      <c r="I336" t="s">
        <v>22</v>
      </c>
      <c r="J336">
        <v>276312.31</v>
      </c>
      <c r="K336" t="s">
        <v>39</v>
      </c>
      <c r="L336" s="10">
        <v>45644</v>
      </c>
      <c r="M336" t="s">
        <v>24</v>
      </c>
      <c r="N336">
        <v>696392.16999999993</v>
      </c>
      <c r="O336" t="s">
        <v>25</v>
      </c>
      <c r="P336" s="10">
        <v>45627</v>
      </c>
      <c r="Q336">
        <v>276312.31</v>
      </c>
      <c r="R336">
        <v>0</v>
      </c>
      <c r="S336" t="s">
        <v>1098</v>
      </c>
      <c r="T336" t="s">
        <v>1095</v>
      </c>
    </row>
    <row r="337" spans="1:20" x14ac:dyDescent="0.3">
      <c r="A337" t="s">
        <v>760</v>
      </c>
      <c r="B337">
        <v>373993</v>
      </c>
      <c r="C337" t="s">
        <v>761</v>
      </c>
      <c r="D337">
        <v>434312755539</v>
      </c>
      <c r="E337" t="s">
        <v>91</v>
      </c>
      <c r="F337" t="s">
        <v>109</v>
      </c>
      <c r="G337" t="s">
        <v>110</v>
      </c>
      <c r="H337" t="s">
        <v>31</v>
      </c>
      <c r="I337" t="s">
        <v>38</v>
      </c>
      <c r="J337">
        <v>7769.1</v>
      </c>
      <c r="K337" t="s">
        <v>32</v>
      </c>
      <c r="L337" s="10">
        <v>45686</v>
      </c>
      <c r="M337" t="s">
        <v>24</v>
      </c>
      <c r="N337">
        <v>89554.579999999987</v>
      </c>
      <c r="O337" t="s">
        <v>25</v>
      </c>
      <c r="P337" s="10">
        <v>45658</v>
      </c>
      <c r="Q337">
        <v>-7769.1</v>
      </c>
      <c r="R337">
        <v>0</v>
      </c>
      <c r="S337" t="s">
        <v>1098</v>
      </c>
      <c r="T337" t="s">
        <v>1095</v>
      </c>
    </row>
    <row r="338" spans="1:20" x14ac:dyDescent="0.3">
      <c r="A338" t="s">
        <v>762</v>
      </c>
      <c r="B338">
        <v>445390</v>
      </c>
      <c r="C338" t="s">
        <v>763</v>
      </c>
      <c r="D338">
        <v>834906079344</v>
      </c>
      <c r="E338" t="s">
        <v>64</v>
      </c>
      <c r="F338" t="s">
        <v>177</v>
      </c>
      <c r="G338" t="s">
        <v>178</v>
      </c>
      <c r="H338" t="s">
        <v>21</v>
      </c>
      <c r="I338" t="s">
        <v>22</v>
      </c>
      <c r="J338">
        <v>496927.6</v>
      </c>
      <c r="K338" t="s">
        <v>98</v>
      </c>
      <c r="L338" s="10">
        <v>45818</v>
      </c>
      <c r="M338" t="s">
        <v>24</v>
      </c>
      <c r="N338">
        <v>1643914.5</v>
      </c>
      <c r="O338" t="s">
        <v>25</v>
      </c>
      <c r="P338" s="10">
        <v>45809</v>
      </c>
      <c r="Q338">
        <v>496927.6</v>
      </c>
      <c r="R338">
        <v>0</v>
      </c>
      <c r="S338" t="s">
        <v>1098</v>
      </c>
      <c r="T338" t="s">
        <v>1095</v>
      </c>
    </row>
    <row r="339" spans="1:20" x14ac:dyDescent="0.3">
      <c r="A339" t="s">
        <v>764</v>
      </c>
      <c r="B339">
        <v>392598</v>
      </c>
      <c r="C339" t="s">
        <v>765</v>
      </c>
      <c r="D339">
        <v>507228613971</v>
      </c>
      <c r="E339" t="s">
        <v>91</v>
      </c>
      <c r="F339" t="s">
        <v>109</v>
      </c>
      <c r="G339" t="s">
        <v>110</v>
      </c>
      <c r="H339" t="s">
        <v>21</v>
      </c>
      <c r="I339" t="s">
        <v>38</v>
      </c>
      <c r="J339">
        <v>26907.46</v>
      </c>
      <c r="K339" t="s">
        <v>98</v>
      </c>
      <c r="L339" s="10">
        <v>45679</v>
      </c>
      <c r="M339" t="s">
        <v>24</v>
      </c>
      <c r="N339">
        <v>1359303.82</v>
      </c>
      <c r="O339" t="s">
        <v>25</v>
      </c>
      <c r="P339" s="10">
        <v>45658</v>
      </c>
      <c r="Q339">
        <v>-26907.46</v>
      </c>
      <c r="R339">
        <v>0</v>
      </c>
      <c r="S339" t="s">
        <v>1098</v>
      </c>
      <c r="T339" t="s">
        <v>1095</v>
      </c>
    </row>
    <row r="340" spans="1:20" x14ac:dyDescent="0.3">
      <c r="A340" t="s">
        <v>766</v>
      </c>
      <c r="B340">
        <v>627322</v>
      </c>
      <c r="C340" t="s">
        <v>767</v>
      </c>
      <c r="D340">
        <v>197653048874</v>
      </c>
      <c r="E340" t="s">
        <v>91</v>
      </c>
      <c r="F340" t="s">
        <v>162</v>
      </c>
      <c r="G340" t="s">
        <v>163</v>
      </c>
      <c r="H340" t="s">
        <v>31</v>
      </c>
      <c r="I340" t="s">
        <v>53</v>
      </c>
      <c r="J340">
        <v>381840.68</v>
      </c>
      <c r="K340" t="s">
        <v>49</v>
      </c>
      <c r="L340" s="10">
        <v>45548</v>
      </c>
      <c r="M340" t="s">
        <v>50</v>
      </c>
      <c r="N340">
        <v>1996331.03</v>
      </c>
      <c r="O340" t="s">
        <v>25</v>
      </c>
      <c r="P340" s="10">
        <v>45536</v>
      </c>
      <c r="Q340">
        <v>381840.68</v>
      </c>
      <c r="R340">
        <v>0</v>
      </c>
      <c r="S340" t="s">
        <v>1098</v>
      </c>
      <c r="T340" t="s">
        <v>1095</v>
      </c>
    </row>
    <row r="341" spans="1:20" x14ac:dyDescent="0.3">
      <c r="A341" t="s">
        <v>768</v>
      </c>
      <c r="B341">
        <v>674507</v>
      </c>
      <c r="C341" t="s">
        <v>769</v>
      </c>
      <c r="D341">
        <v>365343466726</v>
      </c>
      <c r="E341" t="s">
        <v>35</v>
      </c>
      <c r="F341" t="s">
        <v>73</v>
      </c>
      <c r="G341" t="s">
        <v>74</v>
      </c>
      <c r="H341" t="s">
        <v>70</v>
      </c>
      <c r="I341" t="s">
        <v>48</v>
      </c>
      <c r="J341">
        <v>123684.75</v>
      </c>
      <c r="K341" t="s">
        <v>23</v>
      </c>
      <c r="L341" s="10">
        <v>45376</v>
      </c>
      <c r="M341" t="s">
        <v>24</v>
      </c>
      <c r="N341">
        <v>355220.47999999998</v>
      </c>
      <c r="O341" t="s">
        <v>25</v>
      </c>
      <c r="P341" s="10">
        <v>45352</v>
      </c>
      <c r="Q341">
        <v>123684.75</v>
      </c>
      <c r="R341">
        <v>0</v>
      </c>
      <c r="S341" t="s">
        <v>1097</v>
      </c>
      <c r="T341" t="s">
        <v>1095</v>
      </c>
    </row>
    <row r="342" spans="1:20" x14ac:dyDescent="0.3">
      <c r="A342" t="s">
        <v>770</v>
      </c>
      <c r="B342">
        <v>572980</v>
      </c>
      <c r="C342" t="s">
        <v>771</v>
      </c>
      <c r="D342">
        <v>184613706984</v>
      </c>
      <c r="E342" t="s">
        <v>64</v>
      </c>
      <c r="F342" t="s">
        <v>166</v>
      </c>
      <c r="G342" t="s">
        <v>167</v>
      </c>
      <c r="H342" t="s">
        <v>70</v>
      </c>
      <c r="I342" t="s">
        <v>48</v>
      </c>
      <c r="J342">
        <v>78611.759999999995</v>
      </c>
      <c r="K342" t="s">
        <v>23</v>
      </c>
      <c r="L342" s="10">
        <v>45401</v>
      </c>
      <c r="M342" t="s">
        <v>113</v>
      </c>
      <c r="N342">
        <v>1631486.44</v>
      </c>
      <c r="O342" t="s">
        <v>25</v>
      </c>
      <c r="P342" s="10">
        <v>45383</v>
      </c>
      <c r="Q342">
        <v>78611.759999999995</v>
      </c>
      <c r="R342">
        <v>0</v>
      </c>
      <c r="S342" t="s">
        <v>1097</v>
      </c>
      <c r="T342" t="s">
        <v>1095</v>
      </c>
    </row>
    <row r="343" spans="1:20" x14ac:dyDescent="0.3">
      <c r="A343" t="s">
        <v>772</v>
      </c>
      <c r="B343">
        <v>364377</v>
      </c>
      <c r="C343" t="s">
        <v>773</v>
      </c>
      <c r="D343">
        <v>669037054253</v>
      </c>
      <c r="E343" t="s">
        <v>28</v>
      </c>
      <c r="F343" t="s">
        <v>79</v>
      </c>
      <c r="G343" t="s">
        <v>80</v>
      </c>
      <c r="H343" t="s">
        <v>67</v>
      </c>
      <c r="I343" t="s">
        <v>38</v>
      </c>
      <c r="J343">
        <v>121347.74</v>
      </c>
      <c r="K343" t="s">
        <v>49</v>
      </c>
      <c r="L343" s="10">
        <v>45680</v>
      </c>
      <c r="M343" t="s">
        <v>113</v>
      </c>
      <c r="N343">
        <v>108426.39</v>
      </c>
      <c r="O343" t="s">
        <v>25</v>
      </c>
      <c r="P343" s="10">
        <v>45658</v>
      </c>
      <c r="Q343">
        <v>-121347.74</v>
      </c>
      <c r="R343">
        <v>0</v>
      </c>
      <c r="S343" t="s">
        <v>1098</v>
      </c>
      <c r="T343" t="s">
        <v>1095</v>
      </c>
    </row>
    <row r="344" spans="1:20" x14ac:dyDescent="0.3">
      <c r="A344" t="s">
        <v>774</v>
      </c>
      <c r="B344">
        <v>989898</v>
      </c>
      <c r="C344" t="s">
        <v>775</v>
      </c>
      <c r="D344">
        <v>304809259360</v>
      </c>
      <c r="E344" t="s">
        <v>28</v>
      </c>
      <c r="F344" t="s">
        <v>192</v>
      </c>
      <c r="G344" t="s">
        <v>193</v>
      </c>
      <c r="H344" t="s">
        <v>21</v>
      </c>
      <c r="I344" t="s">
        <v>38</v>
      </c>
      <c r="J344">
        <v>51703.81</v>
      </c>
      <c r="K344" t="s">
        <v>49</v>
      </c>
      <c r="L344" s="10">
        <v>45593</v>
      </c>
      <c r="M344" t="s">
        <v>24</v>
      </c>
      <c r="N344">
        <v>641168.51</v>
      </c>
      <c r="O344" t="s">
        <v>25</v>
      </c>
      <c r="P344" s="10">
        <v>45566</v>
      </c>
      <c r="Q344">
        <v>-51703.81</v>
      </c>
      <c r="R344">
        <v>0</v>
      </c>
      <c r="S344" t="s">
        <v>1098</v>
      </c>
      <c r="T344" t="s">
        <v>1095</v>
      </c>
    </row>
    <row r="345" spans="1:20" x14ac:dyDescent="0.3">
      <c r="A345" t="s">
        <v>776</v>
      </c>
      <c r="B345">
        <v>390792</v>
      </c>
      <c r="C345" t="s">
        <v>777</v>
      </c>
      <c r="D345">
        <v>815931680958</v>
      </c>
      <c r="E345" t="s">
        <v>18</v>
      </c>
      <c r="F345" t="s">
        <v>46</v>
      </c>
      <c r="G345" t="s">
        <v>47</v>
      </c>
      <c r="H345" t="s">
        <v>31</v>
      </c>
      <c r="I345" t="s">
        <v>48</v>
      </c>
      <c r="J345">
        <v>163533.1</v>
      </c>
      <c r="K345" t="s">
        <v>49</v>
      </c>
      <c r="L345" s="10">
        <v>45679</v>
      </c>
      <c r="M345" t="s">
        <v>24</v>
      </c>
      <c r="N345">
        <v>1859589.9</v>
      </c>
      <c r="O345" t="s">
        <v>25</v>
      </c>
      <c r="P345" s="10">
        <v>45658</v>
      </c>
      <c r="Q345">
        <v>163533.1</v>
      </c>
      <c r="R345">
        <v>0</v>
      </c>
      <c r="S345" t="s">
        <v>1098</v>
      </c>
      <c r="T345" t="s">
        <v>1095</v>
      </c>
    </row>
    <row r="346" spans="1:20" x14ac:dyDescent="0.3">
      <c r="A346" t="s">
        <v>778</v>
      </c>
      <c r="B346">
        <v>409468</v>
      </c>
      <c r="C346" t="s">
        <v>779</v>
      </c>
      <c r="D346">
        <v>385357726132</v>
      </c>
      <c r="E346" t="s">
        <v>28</v>
      </c>
      <c r="F346" t="s">
        <v>192</v>
      </c>
      <c r="G346" t="s">
        <v>193</v>
      </c>
      <c r="H346" t="s">
        <v>21</v>
      </c>
      <c r="I346" t="s">
        <v>48</v>
      </c>
      <c r="J346">
        <v>273026.71000000002</v>
      </c>
      <c r="K346" t="s">
        <v>23</v>
      </c>
      <c r="L346" s="10">
        <v>45473</v>
      </c>
      <c r="M346" t="s">
        <v>24</v>
      </c>
      <c r="N346">
        <v>639598.09000000008</v>
      </c>
      <c r="O346" t="s">
        <v>25</v>
      </c>
      <c r="P346" s="10">
        <v>45444</v>
      </c>
      <c r="Q346">
        <v>273026.71000000002</v>
      </c>
      <c r="R346">
        <v>0</v>
      </c>
      <c r="S346" t="s">
        <v>1097</v>
      </c>
      <c r="T346" t="s">
        <v>1095</v>
      </c>
    </row>
    <row r="347" spans="1:20" x14ac:dyDescent="0.3">
      <c r="A347" t="s">
        <v>780</v>
      </c>
      <c r="B347">
        <v>980642</v>
      </c>
      <c r="C347" t="s">
        <v>781</v>
      </c>
      <c r="D347">
        <v>100768524152</v>
      </c>
      <c r="E347" t="s">
        <v>35</v>
      </c>
      <c r="F347" t="s">
        <v>36</v>
      </c>
      <c r="G347" t="s">
        <v>37</v>
      </c>
      <c r="H347" t="s">
        <v>70</v>
      </c>
      <c r="I347" t="s">
        <v>48</v>
      </c>
      <c r="J347">
        <v>7411.04</v>
      </c>
      <c r="K347" t="s">
        <v>49</v>
      </c>
      <c r="L347" s="10">
        <v>45156</v>
      </c>
      <c r="M347" t="s">
        <v>24</v>
      </c>
      <c r="N347">
        <v>1595355.14</v>
      </c>
      <c r="O347" t="s">
        <v>25</v>
      </c>
      <c r="P347" s="10">
        <v>45139</v>
      </c>
      <c r="Q347">
        <v>7411.04</v>
      </c>
      <c r="R347">
        <v>0</v>
      </c>
      <c r="S347" t="s">
        <v>1098</v>
      </c>
      <c r="T347" t="s">
        <v>1095</v>
      </c>
    </row>
    <row r="348" spans="1:20" x14ac:dyDescent="0.3">
      <c r="A348" t="s">
        <v>782</v>
      </c>
      <c r="B348">
        <v>547953</v>
      </c>
      <c r="C348" t="s">
        <v>783</v>
      </c>
      <c r="D348">
        <v>284180983285</v>
      </c>
      <c r="E348" t="s">
        <v>28</v>
      </c>
      <c r="F348" t="s">
        <v>29</v>
      </c>
      <c r="G348" t="s">
        <v>30</v>
      </c>
      <c r="H348" t="s">
        <v>67</v>
      </c>
      <c r="I348" t="s">
        <v>38</v>
      </c>
      <c r="J348">
        <v>4390.57</v>
      </c>
      <c r="K348" t="s">
        <v>39</v>
      </c>
      <c r="L348" s="10">
        <v>45364</v>
      </c>
      <c r="M348" t="s">
        <v>24</v>
      </c>
      <c r="N348">
        <v>404938.51</v>
      </c>
      <c r="O348" t="s">
        <v>25</v>
      </c>
      <c r="P348" s="10">
        <v>45352</v>
      </c>
      <c r="Q348">
        <v>-4390.57</v>
      </c>
      <c r="R348">
        <v>0</v>
      </c>
      <c r="S348" t="s">
        <v>1098</v>
      </c>
      <c r="T348" t="s">
        <v>1095</v>
      </c>
    </row>
    <row r="349" spans="1:20" x14ac:dyDescent="0.3">
      <c r="A349" t="s">
        <v>784</v>
      </c>
      <c r="B349">
        <v>740305</v>
      </c>
      <c r="C349" t="s">
        <v>785</v>
      </c>
      <c r="D349">
        <v>242642960021</v>
      </c>
      <c r="E349" t="s">
        <v>28</v>
      </c>
      <c r="F349" t="s">
        <v>216</v>
      </c>
      <c r="G349" t="s">
        <v>217</v>
      </c>
      <c r="H349" t="s">
        <v>70</v>
      </c>
      <c r="I349" t="s">
        <v>53</v>
      </c>
      <c r="J349">
        <v>256573.7</v>
      </c>
      <c r="K349" t="s">
        <v>32</v>
      </c>
      <c r="L349" s="10">
        <v>45149</v>
      </c>
      <c r="M349" t="s">
        <v>113</v>
      </c>
      <c r="N349">
        <v>1215289.54</v>
      </c>
      <c r="O349" t="s">
        <v>25</v>
      </c>
      <c r="P349" s="10">
        <v>45139</v>
      </c>
      <c r="Q349">
        <v>256573.7</v>
      </c>
      <c r="R349">
        <v>0</v>
      </c>
      <c r="S349" t="s">
        <v>1098</v>
      </c>
      <c r="T349" t="s">
        <v>1095</v>
      </c>
    </row>
    <row r="350" spans="1:20" x14ac:dyDescent="0.3">
      <c r="A350" t="s">
        <v>786</v>
      </c>
      <c r="B350">
        <v>427894</v>
      </c>
      <c r="C350" t="s">
        <v>787</v>
      </c>
      <c r="D350">
        <v>870186363718</v>
      </c>
      <c r="E350" t="s">
        <v>91</v>
      </c>
      <c r="F350" t="s">
        <v>109</v>
      </c>
      <c r="G350" t="s">
        <v>110</v>
      </c>
      <c r="H350" t="s">
        <v>67</v>
      </c>
      <c r="I350" t="s">
        <v>48</v>
      </c>
      <c r="J350">
        <v>192646.23</v>
      </c>
      <c r="K350" t="s">
        <v>98</v>
      </c>
      <c r="L350" s="10">
        <v>45703</v>
      </c>
      <c r="M350" t="s">
        <v>24</v>
      </c>
      <c r="N350">
        <v>1958117.95</v>
      </c>
      <c r="O350" t="s">
        <v>25</v>
      </c>
      <c r="P350" s="10">
        <v>45689</v>
      </c>
      <c r="Q350">
        <v>192646.23</v>
      </c>
      <c r="R350">
        <v>0</v>
      </c>
      <c r="S350" t="s">
        <v>1098</v>
      </c>
      <c r="T350" t="s">
        <v>1095</v>
      </c>
    </row>
    <row r="351" spans="1:20" x14ac:dyDescent="0.3">
      <c r="A351" t="s">
        <v>788</v>
      </c>
      <c r="B351">
        <v>586706</v>
      </c>
      <c r="C351" t="s">
        <v>789</v>
      </c>
      <c r="D351">
        <v>386125421772</v>
      </c>
      <c r="E351" t="s">
        <v>64</v>
      </c>
      <c r="F351" t="s">
        <v>166</v>
      </c>
      <c r="G351" t="s">
        <v>167</v>
      </c>
      <c r="H351" t="s">
        <v>31</v>
      </c>
      <c r="I351" t="s">
        <v>48</v>
      </c>
      <c r="J351">
        <v>245014.75</v>
      </c>
      <c r="K351" t="s">
        <v>49</v>
      </c>
      <c r="L351" s="10">
        <v>45321</v>
      </c>
      <c r="M351" t="s">
        <v>24</v>
      </c>
      <c r="N351">
        <v>1896528.53</v>
      </c>
      <c r="O351" t="s">
        <v>25</v>
      </c>
      <c r="P351" s="10">
        <v>45292</v>
      </c>
      <c r="Q351">
        <v>245014.75</v>
      </c>
      <c r="R351">
        <v>0</v>
      </c>
      <c r="S351" t="s">
        <v>1098</v>
      </c>
      <c r="T351" t="s">
        <v>1095</v>
      </c>
    </row>
    <row r="352" spans="1:20" x14ac:dyDescent="0.3">
      <c r="A352" t="s">
        <v>790</v>
      </c>
      <c r="B352">
        <v>684987</v>
      </c>
      <c r="C352" t="s">
        <v>791</v>
      </c>
      <c r="D352">
        <v>462363293377</v>
      </c>
      <c r="E352" t="s">
        <v>64</v>
      </c>
      <c r="F352" t="s">
        <v>83</v>
      </c>
      <c r="G352" t="s">
        <v>84</v>
      </c>
      <c r="H352" t="s">
        <v>31</v>
      </c>
      <c r="I352" t="s">
        <v>53</v>
      </c>
      <c r="J352">
        <v>498754.84</v>
      </c>
      <c r="K352" t="s">
        <v>23</v>
      </c>
      <c r="L352" s="10">
        <v>45265</v>
      </c>
      <c r="M352" t="s">
        <v>24</v>
      </c>
      <c r="N352">
        <v>1284513.78</v>
      </c>
      <c r="O352" t="s">
        <v>25</v>
      </c>
      <c r="P352" s="10">
        <v>45261</v>
      </c>
      <c r="Q352">
        <v>498754.84</v>
      </c>
      <c r="R352">
        <v>0</v>
      </c>
      <c r="S352" t="s">
        <v>1097</v>
      </c>
      <c r="T352" t="s">
        <v>1095</v>
      </c>
    </row>
    <row r="353" spans="1:20" x14ac:dyDescent="0.3">
      <c r="A353" t="s">
        <v>792</v>
      </c>
      <c r="B353">
        <v>718664</v>
      </c>
      <c r="C353" t="s">
        <v>793</v>
      </c>
      <c r="D353">
        <v>283341172763</v>
      </c>
      <c r="E353" t="s">
        <v>35</v>
      </c>
      <c r="F353" t="s">
        <v>42</v>
      </c>
      <c r="G353" t="s">
        <v>43</v>
      </c>
      <c r="H353" t="s">
        <v>31</v>
      </c>
      <c r="I353" t="s">
        <v>48</v>
      </c>
      <c r="J353">
        <v>223897.88</v>
      </c>
      <c r="K353" t="s">
        <v>23</v>
      </c>
      <c r="L353" s="10">
        <v>45418</v>
      </c>
      <c r="M353" t="s">
        <v>24</v>
      </c>
      <c r="N353">
        <v>1081271.3899999999</v>
      </c>
      <c r="O353" t="s">
        <v>25</v>
      </c>
      <c r="P353" s="10">
        <v>45413</v>
      </c>
      <c r="Q353">
        <v>223897.88</v>
      </c>
      <c r="R353">
        <v>0</v>
      </c>
      <c r="S353" t="s">
        <v>1097</v>
      </c>
      <c r="T353" t="s">
        <v>1095</v>
      </c>
    </row>
    <row r="354" spans="1:20" x14ac:dyDescent="0.3">
      <c r="A354" t="s">
        <v>794</v>
      </c>
      <c r="B354">
        <v>361462</v>
      </c>
      <c r="C354" t="s">
        <v>795</v>
      </c>
      <c r="D354">
        <v>605459164624</v>
      </c>
      <c r="E354" t="s">
        <v>64</v>
      </c>
      <c r="F354" t="s">
        <v>166</v>
      </c>
      <c r="G354" t="s">
        <v>167</v>
      </c>
      <c r="H354" t="s">
        <v>21</v>
      </c>
      <c r="I354" t="s">
        <v>38</v>
      </c>
      <c r="J354">
        <v>133808.04</v>
      </c>
      <c r="K354" t="s">
        <v>32</v>
      </c>
      <c r="L354" s="10">
        <v>45618</v>
      </c>
      <c r="M354" t="s">
        <v>24</v>
      </c>
      <c r="N354">
        <v>1345738.11</v>
      </c>
      <c r="O354" t="s">
        <v>25</v>
      </c>
      <c r="P354" s="10">
        <v>45597</v>
      </c>
      <c r="Q354">
        <v>-133808.04</v>
      </c>
      <c r="R354">
        <v>0</v>
      </c>
      <c r="S354" t="s">
        <v>1098</v>
      </c>
      <c r="T354" t="s">
        <v>1095</v>
      </c>
    </row>
    <row r="355" spans="1:20" x14ac:dyDescent="0.3">
      <c r="A355" t="s">
        <v>796</v>
      </c>
      <c r="B355">
        <v>633665</v>
      </c>
      <c r="C355" t="s">
        <v>797</v>
      </c>
      <c r="D355">
        <v>198565706740</v>
      </c>
      <c r="E355" t="s">
        <v>35</v>
      </c>
      <c r="F355" t="s">
        <v>73</v>
      </c>
      <c r="G355" t="s">
        <v>74</v>
      </c>
      <c r="H355" t="s">
        <v>67</v>
      </c>
      <c r="I355" t="s">
        <v>38</v>
      </c>
      <c r="J355">
        <v>45421.34</v>
      </c>
      <c r="K355" t="s">
        <v>49</v>
      </c>
      <c r="L355" s="10">
        <v>45443</v>
      </c>
      <c r="M355" t="s">
        <v>24</v>
      </c>
      <c r="N355">
        <v>821237.76000000001</v>
      </c>
      <c r="O355" t="s">
        <v>25</v>
      </c>
      <c r="P355" s="10">
        <v>45413</v>
      </c>
      <c r="Q355">
        <v>-45421.34</v>
      </c>
      <c r="R355">
        <v>0</v>
      </c>
      <c r="S355" t="s">
        <v>1098</v>
      </c>
      <c r="T355" t="s">
        <v>1095</v>
      </c>
    </row>
    <row r="356" spans="1:20" x14ac:dyDescent="0.3">
      <c r="A356" t="s">
        <v>798</v>
      </c>
      <c r="B356">
        <v>894189</v>
      </c>
      <c r="C356" t="s">
        <v>799</v>
      </c>
      <c r="D356">
        <v>261191347516</v>
      </c>
      <c r="E356" t="s">
        <v>91</v>
      </c>
      <c r="F356" t="s">
        <v>109</v>
      </c>
      <c r="G356" t="s">
        <v>110</v>
      </c>
      <c r="H356" t="s">
        <v>21</v>
      </c>
      <c r="I356" t="s">
        <v>22</v>
      </c>
      <c r="J356">
        <v>172113.86</v>
      </c>
      <c r="K356" t="s">
        <v>49</v>
      </c>
      <c r="L356" s="10">
        <v>45129</v>
      </c>
      <c r="M356" t="s">
        <v>24</v>
      </c>
      <c r="N356">
        <v>896946.19</v>
      </c>
      <c r="O356" t="s">
        <v>25</v>
      </c>
      <c r="P356" s="10">
        <v>45108</v>
      </c>
      <c r="Q356">
        <v>172113.86</v>
      </c>
      <c r="R356">
        <v>0</v>
      </c>
      <c r="S356" t="s">
        <v>1098</v>
      </c>
      <c r="T356" t="s">
        <v>1095</v>
      </c>
    </row>
    <row r="357" spans="1:20" x14ac:dyDescent="0.3">
      <c r="A357" t="s">
        <v>800</v>
      </c>
      <c r="B357">
        <v>475202</v>
      </c>
      <c r="C357" t="s">
        <v>801</v>
      </c>
      <c r="D357">
        <v>263661783529</v>
      </c>
      <c r="E357" t="s">
        <v>91</v>
      </c>
      <c r="F357" t="s">
        <v>162</v>
      </c>
      <c r="G357" t="s">
        <v>163</v>
      </c>
      <c r="H357" t="s">
        <v>21</v>
      </c>
      <c r="I357" t="s">
        <v>38</v>
      </c>
      <c r="J357">
        <v>78597.94</v>
      </c>
      <c r="K357" t="s">
        <v>23</v>
      </c>
      <c r="L357" s="10">
        <v>45714</v>
      </c>
      <c r="M357" t="s">
        <v>24</v>
      </c>
      <c r="N357">
        <v>1132144.31</v>
      </c>
      <c r="O357" t="s">
        <v>25</v>
      </c>
      <c r="P357" s="10">
        <v>45689</v>
      </c>
      <c r="Q357">
        <v>-78597.94</v>
      </c>
      <c r="R357">
        <v>0</v>
      </c>
      <c r="S357" t="s">
        <v>1097</v>
      </c>
      <c r="T357" t="s">
        <v>1095</v>
      </c>
    </row>
    <row r="358" spans="1:20" x14ac:dyDescent="0.3">
      <c r="A358" t="s">
        <v>802</v>
      </c>
      <c r="B358">
        <v>853516</v>
      </c>
      <c r="C358" t="s">
        <v>803</v>
      </c>
      <c r="D358">
        <v>909642409332</v>
      </c>
      <c r="E358" t="s">
        <v>35</v>
      </c>
      <c r="F358" t="s">
        <v>42</v>
      </c>
      <c r="G358" t="s">
        <v>43</v>
      </c>
      <c r="H358" t="s">
        <v>31</v>
      </c>
      <c r="I358" t="s">
        <v>48</v>
      </c>
      <c r="J358">
        <v>2034.23</v>
      </c>
      <c r="K358" t="s">
        <v>39</v>
      </c>
      <c r="L358" s="10">
        <v>45641</v>
      </c>
      <c r="M358" t="s">
        <v>50</v>
      </c>
      <c r="N358">
        <v>1179384.8799999999</v>
      </c>
      <c r="O358" t="s">
        <v>25</v>
      </c>
      <c r="P358" s="10">
        <v>45627</v>
      </c>
      <c r="Q358">
        <v>2034.23</v>
      </c>
      <c r="R358">
        <v>0</v>
      </c>
      <c r="S358" t="s">
        <v>1098</v>
      </c>
      <c r="T358" t="s">
        <v>1095</v>
      </c>
    </row>
    <row r="359" spans="1:20" x14ac:dyDescent="0.3">
      <c r="A359" t="s">
        <v>804</v>
      </c>
      <c r="B359">
        <v>150512</v>
      </c>
      <c r="C359" t="s">
        <v>805</v>
      </c>
      <c r="D359">
        <v>947252500435</v>
      </c>
      <c r="E359" t="s">
        <v>64</v>
      </c>
      <c r="F359" t="s">
        <v>146</v>
      </c>
      <c r="G359" t="s">
        <v>147</v>
      </c>
      <c r="H359" t="s">
        <v>67</v>
      </c>
      <c r="I359" t="s">
        <v>38</v>
      </c>
      <c r="J359">
        <v>145852.56</v>
      </c>
      <c r="K359" t="s">
        <v>23</v>
      </c>
      <c r="L359" s="10">
        <v>45649</v>
      </c>
      <c r="M359" t="s">
        <v>24</v>
      </c>
      <c r="N359">
        <v>1802050.86</v>
      </c>
      <c r="O359" t="s">
        <v>25</v>
      </c>
      <c r="P359" s="10">
        <v>45627</v>
      </c>
      <c r="Q359">
        <v>-145852.56</v>
      </c>
      <c r="R359">
        <v>0</v>
      </c>
      <c r="S359" t="s">
        <v>1097</v>
      </c>
      <c r="T359" t="s">
        <v>1095</v>
      </c>
    </row>
    <row r="360" spans="1:20" x14ac:dyDescent="0.3">
      <c r="A360" t="s">
        <v>806</v>
      </c>
      <c r="B360">
        <v>114174</v>
      </c>
      <c r="C360" t="s">
        <v>807</v>
      </c>
      <c r="D360">
        <v>503389519825</v>
      </c>
      <c r="E360" t="s">
        <v>64</v>
      </c>
      <c r="F360" t="s">
        <v>146</v>
      </c>
      <c r="G360" t="s">
        <v>147</v>
      </c>
      <c r="H360" t="s">
        <v>31</v>
      </c>
      <c r="I360" t="s">
        <v>22</v>
      </c>
      <c r="J360">
        <v>505150.86</v>
      </c>
      <c r="K360" t="s">
        <v>49</v>
      </c>
      <c r="L360" s="10">
        <v>45124</v>
      </c>
      <c r="M360" t="s">
        <v>24</v>
      </c>
      <c r="N360">
        <v>1521144.43</v>
      </c>
      <c r="O360" t="s">
        <v>25</v>
      </c>
      <c r="P360" s="10">
        <v>45108</v>
      </c>
      <c r="Q360">
        <v>505150.86</v>
      </c>
      <c r="R360">
        <v>0</v>
      </c>
      <c r="S360" t="s">
        <v>1098</v>
      </c>
      <c r="T360" t="s">
        <v>1095</v>
      </c>
    </row>
    <row r="361" spans="1:20" x14ac:dyDescent="0.3">
      <c r="A361" t="s">
        <v>808</v>
      </c>
      <c r="B361">
        <v>815415</v>
      </c>
      <c r="C361" t="s">
        <v>809</v>
      </c>
      <c r="D361">
        <v>707425693401</v>
      </c>
      <c r="E361" t="s">
        <v>28</v>
      </c>
      <c r="F361" t="s">
        <v>150</v>
      </c>
      <c r="G361" t="s">
        <v>151</v>
      </c>
      <c r="H361" t="s">
        <v>21</v>
      </c>
      <c r="I361" t="s">
        <v>48</v>
      </c>
      <c r="J361">
        <v>263485.11</v>
      </c>
      <c r="K361" t="s">
        <v>49</v>
      </c>
      <c r="L361" s="10">
        <v>45805</v>
      </c>
      <c r="M361" t="s">
        <v>24</v>
      </c>
      <c r="N361">
        <v>772198.29</v>
      </c>
      <c r="O361" t="s">
        <v>25</v>
      </c>
      <c r="P361" s="10">
        <v>45778</v>
      </c>
      <c r="Q361">
        <v>263485.11</v>
      </c>
      <c r="R361">
        <v>0</v>
      </c>
      <c r="S361" t="s">
        <v>1098</v>
      </c>
      <c r="T361" t="s">
        <v>1095</v>
      </c>
    </row>
    <row r="362" spans="1:20" x14ac:dyDescent="0.3">
      <c r="A362" t="s">
        <v>810</v>
      </c>
      <c r="B362">
        <v>332907</v>
      </c>
      <c r="C362" t="s">
        <v>811</v>
      </c>
      <c r="D362">
        <v>775725282488</v>
      </c>
      <c r="E362" t="s">
        <v>18</v>
      </c>
      <c r="F362" t="s">
        <v>46</v>
      </c>
      <c r="G362" t="s">
        <v>47</v>
      </c>
      <c r="H362" t="s">
        <v>70</v>
      </c>
      <c r="I362" t="s">
        <v>53</v>
      </c>
      <c r="J362">
        <v>477061.46</v>
      </c>
      <c r="K362" t="s">
        <v>32</v>
      </c>
      <c r="L362" s="10">
        <v>45450</v>
      </c>
      <c r="M362" t="s">
        <v>24</v>
      </c>
      <c r="N362">
        <v>943250.81</v>
      </c>
      <c r="O362" t="s">
        <v>179</v>
      </c>
      <c r="P362" s="10">
        <v>45444</v>
      </c>
      <c r="Q362">
        <v>477061.46</v>
      </c>
      <c r="R362">
        <v>1</v>
      </c>
      <c r="S362" t="s">
        <v>1098</v>
      </c>
      <c r="T362" t="s">
        <v>1095</v>
      </c>
    </row>
    <row r="363" spans="1:20" x14ac:dyDescent="0.3">
      <c r="A363" t="s">
        <v>812</v>
      </c>
      <c r="B363">
        <v>888086</v>
      </c>
      <c r="C363" t="s">
        <v>813</v>
      </c>
      <c r="D363">
        <v>396619643095</v>
      </c>
      <c r="E363" t="s">
        <v>18</v>
      </c>
      <c r="F363" t="s">
        <v>19</v>
      </c>
      <c r="G363" t="s">
        <v>20</v>
      </c>
      <c r="H363" t="s">
        <v>21</v>
      </c>
      <c r="I363" t="s">
        <v>38</v>
      </c>
      <c r="J363">
        <v>89540.74</v>
      </c>
      <c r="K363" t="s">
        <v>23</v>
      </c>
      <c r="L363" s="10">
        <v>45727</v>
      </c>
      <c r="M363" t="s">
        <v>24</v>
      </c>
      <c r="N363">
        <v>1430531.1</v>
      </c>
      <c r="O363" t="s">
        <v>25</v>
      </c>
      <c r="P363" s="10">
        <v>45717</v>
      </c>
      <c r="Q363">
        <v>-89540.74</v>
      </c>
      <c r="R363">
        <v>0</v>
      </c>
      <c r="S363" t="s">
        <v>1097</v>
      </c>
      <c r="T363" t="s">
        <v>1095</v>
      </c>
    </row>
    <row r="364" spans="1:20" x14ac:dyDescent="0.3">
      <c r="A364" t="s">
        <v>814</v>
      </c>
      <c r="B364">
        <v>344715</v>
      </c>
      <c r="C364" t="s">
        <v>815</v>
      </c>
      <c r="D364">
        <v>662042689096</v>
      </c>
      <c r="E364" t="s">
        <v>91</v>
      </c>
      <c r="F364" t="s">
        <v>162</v>
      </c>
      <c r="G364" t="s">
        <v>163</v>
      </c>
      <c r="H364" t="s">
        <v>70</v>
      </c>
      <c r="I364" t="s">
        <v>22</v>
      </c>
      <c r="J364">
        <v>377204.37</v>
      </c>
      <c r="K364" t="s">
        <v>39</v>
      </c>
      <c r="L364" s="10">
        <v>45524</v>
      </c>
      <c r="M364" t="s">
        <v>24</v>
      </c>
      <c r="N364">
        <v>1214932.99</v>
      </c>
      <c r="O364" t="s">
        <v>25</v>
      </c>
      <c r="P364" s="10">
        <v>45505</v>
      </c>
      <c r="Q364">
        <v>377204.37</v>
      </c>
      <c r="R364">
        <v>0</v>
      </c>
      <c r="S364" t="s">
        <v>1098</v>
      </c>
      <c r="T364" t="s">
        <v>1095</v>
      </c>
    </row>
    <row r="365" spans="1:20" x14ac:dyDescent="0.3">
      <c r="A365" t="s">
        <v>816</v>
      </c>
      <c r="B365">
        <v>475616</v>
      </c>
      <c r="C365" t="s">
        <v>817</v>
      </c>
      <c r="D365">
        <v>174971552064</v>
      </c>
      <c r="E365" t="s">
        <v>64</v>
      </c>
      <c r="F365" t="s">
        <v>177</v>
      </c>
      <c r="G365" t="s">
        <v>178</v>
      </c>
      <c r="H365" t="s">
        <v>21</v>
      </c>
      <c r="I365" t="s">
        <v>48</v>
      </c>
      <c r="J365">
        <v>5600</v>
      </c>
      <c r="K365" t="s">
        <v>49</v>
      </c>
      <c r="L365" s="10">
        <v>45804</v>
      </c>
      <c r="M365" t="s">
        <v>24</v>
      </c>
      <c r="N365">
        <v>341311.75</v>
      </c>
      <c r="O365" t="s">
        <v>25</v>
      </c>
      <c r="P365" s="10">
        <v>45778</v>
      </c>
      <c r="Q365">
        <v>5600</v>
      </c>
      <c r="R365">
        <v>0</v>
      </c>
      <c r="S365" t="s">
        <v>1098</v>
      </c>
      <c r="T365" t="s">
        <v>1095</v>
      </c>
    </row>
    <row r="366" spans="1:20" x14ac:dyDescent="0.3">
      <c r="A366" t="s">
        <v>818</v>
      </c>
      <c r="B366">
        <v>219887</v>
      </c>
      <c r="C366" t="s">
        <v>819</v>
      </c>
      <c r="D366">
        <v>718917028742</v>
      </c>
      <c r="E366" t="s">
        <v>91</v>
      </c>
      <c r="F366" t="s">
        <v>105</v>
      </c>
      <c r="G366" t="s">
        <v>106</v>
      </c>
      <c r="H366" t="s">
        <v>31</v>
      </c>
      <c r="I366" t="s">
        <v>48</v>
      </c>
      <c r="J366">
        <v>218817.69</v>
      </c>
      <c r="K366" t="s">
        <v>49</v>
      </c>
      <c r="L366" s="10">
        <v>45835</v>
      </c>
      <c r="M366" t="s">
        <v>50</v>
      </c>
      <c r="N366">
        <v>343750.94</v>
      </c>
      <c r="O366" t="s">
        <v>25</v>
      </c>
      <c r="P366" s="10">
        <v>45809</v>
      </c>
      <c r="Q366">
        <v>218817.69</v>
      </c>
      <c r="R366">
        <v>0</v>
      </c>
      <c r="S366" t="s">
        <v>1098</v>
      </c>
      <c r="T366" t="s">
        <v>1095</v>
      </c>
    </row>
    <row r="367" spans="1:20" x14ac:dyDescent="0.3">
      <c r="A367" t="s">
        <v>820</v>
      </c>
      <c r="B367">
        <v>374263</v>
      </c>
      <c r="C367" t="s">
        <v>821</v>
      </c>
      <c r="D367">
        <v>676729996656</v>
      </c>
      <c r="E367" t="s">
        <v>91</v>
      </c>
      <c r="F367" t="s">
        <v>92</v>
      </c>
      <c r="G367" t="s">
        <v>93</v>
      </c>
      <c r="H367" t="s">
        <v>31</v>
      </c>
      <c r="I367" t="s">
        <v>53</v>
      </c>
      <c r="J367">
        <v>332941.88</v>
      </c>
      <c r="K367" t="s">
        <v>23</v>
      </c>
      <c r="L367" s="10">
        <v>45342</v>
      </c>
      <c r="M367" t="s">
        <v>24</v>
      </c>
      <c r="N367">
        <v>1594009.73</v>
      </c>
      <c r="O367" t="s">
        <v>25</v>
      </c>
      <c r="P367" s="10">
        <v>45323</v>
      </c>
      <c r="Q367">
        <v>332941.88</v>
      </c>
      <c r="R367">
        <v>0</v>
      </c>
      <c r="S367" t="s">
        <v>1097</v>
      </c>
      <c r="T367" t="s">
        <v>1095</v>
      </c>
    </row>
    <row r="368" spans="1:20" x14ac:dyDescent="0.3">
      <c r="A368" t="s">
        <v>822</v>
      </c>
      <c r="B368">
        <v>223924</v>
      </c>
      <c r="C368" t="s">
        <v>823</v>
      </c>
      <c r="D368">
        <v>667714778462</v>
      </c>
      <c r="E368" t="s">
        <v>35</v>
      </c>
      <c r="F368" t="s">
        <v>36</v>
      </c>
      <c r="G368" t="s">
        <v>37</v>
      </c>
      <c r="H368" t="s">
        <v>67</v>
      </c>
      <c r="I368" t="s">
        <v>53</v>
      </c>
      <c r="J368">
        <v>103224.63</v>
      </c>
      <c r="K368" t="s">
        <v>23</v>
      </c>
      <c r="L368" s="10">
        <v>45119</v>
      </c>
      <c r="M368" t="s">
        <v>24</v>
      </c>
      <c r="N368">
        <v>770321.19000000006</v>
      </c>
      <c r="O368" t="s">
        <v>25</v>
      </c>
      <c r="P368" s="10">
        <v>45108</v>
      </c>
      <c r="Q368">
        <v>103224.63</v>
      </c>
      <c r="R368">
        <v>0</v>
      </c>
      <c r="S368" t="s">
        <v>1097</v>
      </c>
      <c r="T368" t="s">
        <v>1095</v>
      </c>
    </row>
    <row r="369" spans="1:20" x14ac:dyDescent="0.3">
      <c r="A369" t="s">
        <v>824</v>
      </c>
      <c r="B369">
        <v>539350</v>
      </c>
      <c r="C369" t="s">
        <v>825</v>
      </c>
      <c r="D369">
        <v>733606955563</v>
      </c>
      <c r="E369" t="s">
        <v>28</v>
      </c>
      <c r="F369" t="s">
        <v>192</v>
      </c>
      <c r="G369" t="s">
        <v>193</v>
      </c>
      <c r="H369" t="s">
        <v>31</v>
      </c>
      <c r="I369" t="s">
        <v>53</v>
      </c>
      <c r="J369">
        <v>82653.77</v>
      </c>
      <c r="K369" t="s">
        <v>49</v>
      </c>
      <c r="L369" s="10">
        <v>45819</v>
      </c>
      <c r="M369" t="s">
        <v>24</v>
      </c>
      <c r="N369">
        <v>1028818.01</v>
      </c>
      <c r="O369" t="s">
        <v>25</v>
      </c>
      <c r="P369" s="10">
        <v>45809</v>
      </c>
      <c r="Q369">
        <v>82653.77</v>
      </c>
      <c r="R369">
        <v>0</v>
      </c>
      <c r="S369" t="s">
        <v>1098</v>
      </c>
      <c r="T369" t="s">
        <v>1095</v>
      </c>
    </row>
    <row r="370" spans="1:20" x14ac:dyDescent="0.3">
      <c r="A370" t="s">
        <v>826</v>
      </c>
      <c r="B370">
        <v>405648</v>
      </c>
      <c r="C370" t="s">
        <v>827</v>
      </c>
      <c r="D370">
        <v>360522614619</v>
      </c>
      <c r="E370" t="s">
        <v>18</v>
      </c>
      <c r="F370" t="s">
        <v>87</v>
      </c>
      <c r="G370" t="s">
        <v>88</v>
      </c>
      <c r="H370" t="s">
        <v>31</v>
      </c>
      <c r="I370" t="s">
        <v>38</v>
      </c>
      <c r="J370">
        <v>78021.990000000005</v>
      </c>
      <c r="K370" t="s">
        <v>39</v>
      </c>
      <c r="L370" s="10">
        <v>45312</v>
      </c>
      <c r="M370" t="s">
        <v>24</v>
      </c>
      <c r="N370">
        <v>370202.29</v>
      </c>
      <c r="O370" t="s">
        <v>25</v>
      </c>
      <c r="P370" s="10">
        <v>45292</v>
      </c>
      <c r="Q370">
        <v>-78021.990000000005</v>
      </c>
      <c r="R370">
        <v>0</v>
      </c>
      <c r="S370" t="s">
        <v>1098</v>
      </c>
      <c r="T370" t="s">
        <v>1095</v>
      </c>
    </row>
    <row r="371" spans="1:20" x14ac:dyDescent="0.3">
      <c r="A371" t="s">
        <v>828</v>
      </c>
      <c r="B371">
        <v>479949</v>
      </c>
      <c r="C371" t="s">
        <v>829</v>
      </c>
      <c r="D371">
        <v>175860036084</v>
      </c>
      <c r="E371" t="s">
        <v>28</v>
      </c>
      <c r="F371" t="s">
        <v>192</v>
      </c>
      <c r="G371" t="s">
        <v>193</v>
      </c>
      <c r="H371" t="s">
        <v>67</v>
      </c>
      <c r="I371" t="s">
        <v>38</v>
      </c>
      <c r="J371">
        <v>27892.53</v>
      </c>
      <c r="K371" t="s">
        <v>32</v>
      </c>
      <c r="L371" s="10">
        <v>45519</v>
      </c>
      <c r="M371" t="s">
        <v>24</v>
      </c>
      <c r="N371">
        <v>1226681.8400000001</v>
      </c>
      <c r="O371" t="s">
        <v>25</v>
      </c>
      <c r="P371" s="10">
        <v>45505</v>
      </c>
      <c r="Q371">
        <v>-27892.53</v>
      </c>
      <c r="R371">
        <v>0</v>
      </c>
      <c r="S371" t="s">
        <v>1098</v>
      </c>
      <c r="T371" t="s">
        <v>1095</v>
      </c>
    </row>
    <row r="372" spans="1:20" x14ac:dyDescent="0.3">
      <c r="A372" t="s">
        <v>830</v>
      </c>
      <c r="B372">
        <v>387939</v>
      </c>
      <c r="C372" t="s">
        <v>831</v>
      </c>
      <c r="D372">
        <v>260103738581</v>
      </c>
      <c r="E372" t="s">
        <v>28</v>
      </c>
      <c r="F372" t="s">
        <v>79</v>
      </c>
      <c r="G372" t="s">
        <v>80</v>
      </c>
      <c r="H372" t="s">
        <v>21</v>
      </c>
      <c r="I372" t="s">
        <v>38</v>
      </c>
      <c r="J372">
        <v>19862</v>
      </c>
      <c r="K372" t="s">
        <v>98</v>
      </c>
      <c r="L372" s="10">
        <v>45804</v>
      </c>
      <c r="M372" t="s">
        <v>168</v>
      </c>
      <c r="N372">
        <v>932608.28</v>
      </c>
      <c r="O372" t="s">
        <v>25</v>
      </c>
      <c r="P372" s="10">
        <v>45778</v>
      </c>
      <c r="Q372">
        <v>-19862</v>
      </c>
      <c r="R372">
        <v>0</v>
      </c>
      <c r="S372" t="s">
        <v>1098</v>
      </c>
      <c r="T372" t="s">
        <v>1095</v>
      </c>
    </row>
    <row r="373" spans="1:20" x14ac:dyDescent="0.3">
      <c r="A373" t="s">
        <v>832</v>
      </c>
      <c r="B373">
        <v>529371</v>
      </c>
      <c r="C373" t="s">
        <v>833</v>
      </c>
      <c r="D373">
        <v>696398414197</v>
      </c>
      <c r="E373" t="s">
        <v>35</v>
      </c>
      <c r="F373" t="s">
        <v>36</v>
      </c>
      <c r="G373" t="s">
        <v>37</v>
      </c>
      <c r="H373" t="s">
        <v>21</v>
      </c>
      <c r="I373" t="s">
        <v>38</v>
      </c>
      <c r="J373">
        <v>78464.289999999994</v>
      </c>
      <c r="K373" t="s">
        <v>39</v>
      </c>
      <c r="L373" s="10">
        <v>45176</v>
      </c>
      <c r="M373" t="s">
        <v>24</v>
      </c>
      <c r="N373">
        <v>1563610.66</v>
      </c>
      <c r="O373" t="s">
        <v>25</v>
      </c>
      <c r="P373" s="10">
        <v>45170</v>
      </c>
      <c r="Q373">
        <v>-78464.289999999994</v>
      </c>
      <c r="R373">
        <v>0</v>
      </c>
      <c r="S373" t="s">
        <v>1098</v>
      </c>
      <c r="T373" t="s">
        <v>1095</v>
      </c>
    </row>
    <row r="374" spans="1:20" x14ac:dyDescent="0.3">
      <c r="A374" t="s">
        <v>834</v>
      </c>
      <c r="B374">
        <v>990194</v>
      </c>
      <c r="C374" t="s">
        <v>835</v>
      </c>
      <c r="D374">
        <v>493757512103</v>
      </c>
      <c r="E374" t="s">
        <v>35</v>
      </c>
      <c r="F374" t="s">
        <v>60</v>
      </c>
      <c r="G374" t="s">
        <v>61</v>
      </c>
      <c r="H374" t="s">
        <v>70</v>
      </c>
      <c r="I374" t="s">
        <v>38</v>
      </c>
      <c r="J374">
        <v>142933.76999999999</v>
      </c>
      <c r="K374" t="s">
        <v>23</v>
      </c>
      <c r="L374" s="10">
        <v>45181</v>
      </c>
      <c r="M374" t="s">
        <v>24</v>
      </c>
      <c r="N374">
        <v>1697109.27</v>
      </c>
      <c r="O374" t="s">
        <v>25</v>
      </c>
      <c r="P374" s="10">
        <v>45170</v>
      </c>
      <c r="Q374">
        <v>-142933.76999999999</v>
      </c>
      <c r="R374">
        <v>0</v>
      </c>
      <c r="S374" t="s">
        <v>1097</v>
      </c>
      <c r="T374" t="s">
        <v>1095</v>
      </c>
    </row>
    <row r="375" spans="1:20" x14ac:dyDescent="0.3">
      <c r="A375" t="s">
        <v>836</v>
      </c>
      <c r="B375">
        <v>970064</v>
      </c>
      <c r="C375" t="s">
        <v>837</v>
      </c>
      <c r="D375">
        <v>653060642611</v>
      </c>
      <c r="E375" t="s">
        <v>35</v>
      </c>
      <c r="F375" t="s">
        <v>36</v>
      </c>
      <c r="G375" t="s">
        <v>37</v>
      </c>
      <c r="H375" t="s">
        <v>70</v>
      </c>
      <c r="I375" t="s">
        <v>53</v>
      </c>
      <c r="J375">
        <v>151050.63</v>
      </c>
      <c r="K375" t="s">
        <v>98</v>
      </c>
      <c r="L375" s="10">
        <v>45380</v>
      </c>
      <c r="M375" t="s">
        <v>113</v>
      </c>
      <c r="N375">
        <v>1211040.1100000001</v>
      </c>
      <c r="O375" t="s">
        <v>179</v>
      </c>
      <c r="P375" s="10">
        <v>45352</v>
      </c>
      <c r="Q375">
        <v>151050.63</v>
      </c>
      <c r="R375">
        <v>1</v>
      </c>
      <c r="S375" t="s">
        <v>1098</v>
      </c>
      <c r="T375" t="s">
        <v>1095</v>
      </c>
    </row>
    <row r="376" spans="1:20" x14ac:dyDescent="0.3">
      <c r="A376" t="s">
        <v>838</v>
      </c>
      <c r="B376">
        <v>466409</v>
      </c>
      <c r="C376" t="s">
        <v>839</v>
      </c>
      <c r="D376">
        <v>881453879458</v>
      </c>
      <c r="E376" t="s">
        <v>91</v>
      </c>
      <c r="F376" t="s">
        <v>92</v>
      </c>
      <c r="G376" t="s">
        <v>93</v>
      </c>
      <c r="H376" t="s">
        <v>70</v>
      </c>
      <c r="I376" t="s">
        <v>22</v>
      </c>
      <c r="J376">
        <v>87369.06</v>
      </c>
      <c r="K376" t="s">
        <v>39</v>
      </c>
      <c r="L376" s="10">
        <v>45726</v>
      </c>
      <c r="M376" t="s">
        <v>24</v>
      </c>
      <c r="N376">
        <v>523219.45</v>
      </c>
      <c r="O376" t="s">
        <v>25</v>
      </c>
      <c r="P376" s="10">
        <v>45717</v>
      </c>
      <c r="Q376">
        <v>87369.06</v>
      </c>
      <c r="R376">
        <v>0</v>
      </c>
      <c r="S376" t="s">
        <v>1098</v>
      </c>
      <c r="T376" t="s">
        <v>1095</v>
      </c>
    </row>
    <row r="377" spans="1:20" x14ac:dyDescent="0.3">
      <c r="A377" t="s">
        <v>840</v>
      </c>
      <c r="B377">
        <v>691233</v>
      </c>
      <c r="C377" t="s">
        <v>841</v>
      </c>
      <c r="D377">
        <v>591674302857</v>
      </c>
      <c r="E377" t="s">
        <v>64</v>
      </c>
      <c r="F377" t="s">
        <v>177</v>
      </c>
      <c r="G377" t="s">
        <v>178</v>
      </c>
      <c r="H377" t="s">
        <v>31</v>
      </c>
      <c r="I377" t="s">
        <v>22</v>
      </c>
      <c r="J377">
        <v>466117.12</v>
      </c>
      <c r="K377" t="s">
        <v>49</v>
      </c>
      <c r="L377" s="10">
        <v>45665</v>
      </c>
      <c r="M377" t="s">
        <v>24</v>
      </c>
      <c r="N377">
        <v>559077.69999999995</v>
      </c>
      <c r="O377" t="s">
        <v>25</v>
      </c>
      <c r="P377" s="10">
        <v>45658</v>
      </c>
      <c r="Q377">
        <v>466117.12</v>
      </c>
      <c r="R377">
        <v>0</v>
      </c>
      <c r="S377" t="s">
        <v>1098</v>
      </c>
      <c r="T377" t="s">
        <v>1095</v>
      </c>
    </row>
    <row r="378" spans="1:20" x14ac:dyDescent="0.3">
      <c r="A378" t="s">
        <v>842</v>
      </c>
      <c r="B378">
        <v>923020</v>
      </c>
      <c r="C378" t="s">
        <v>843</v>
      </c>
      <c r="D378">
        <v>989318539943</v>
      </c>
      <c r="E378" t="s">
        <v>28</v>
      </c>
      <c r="F378" t="s">
        <v>216</v>
      </c>
      <c r="G378" t="s">
        <v>217</v>
      </c>
      <c r="H378" t="s">
        <v>70</v>
      </c>
      <c r="I378" t="s">
        <v>53</v>
      </c>
      <c r="J378">
        <v>352951.84</v>
      </c>
      <c r="K378" t="s">
        <v>23</v>
      </c>
      <c r="L378" s="10">
        <v>45612</v>
      </c>
      <c r="M378" t="s">
        <v>50</v>
      </c>
      <c r="N378">
        <v>1563217.64</v>
      </c>
      <c r="O378" t="s">
        <v>25</v>
      </c>
      <c r="P378" s="10">
        <v>45597</v>
      </c>
      <c r="Q378">
        <v>352951.84</v>
      </c>
      <c r="R378">
        <v>0</v>
      </c>
      <c r="S378" t="s">
        <v>1097</v>
      </c>
      <c r="T378" t="s">
        <v>1095</v>
      </c>
    </row>
    <row r="379" spans="1:20" x14ac:dyDescent="0.3">
      <c r="A379" t="s">
        <v>844</v>
      </c>
      <c r="B379">
        <v>690626</v>
      </c>
      <c r="C379" t="s">
        <v>845</v>
      </c>
      <c r="D379">
        <v>223709347082</v>
      </c>
      <c r="E379" t="s">
        <v>64</v>
      </c>
      <c r="F379" t="s">
        <v>65</v>
      </c>
      <c r="G379" t="s">
        <v>66</v>
      </c>
      <c r="H379" t="s">
        <v>67</v>
      </c>
      <c r="I379" t="s">
        <v>48</v>
      </c>
      <c r="J379">
        <v>119830.79</v>
      </c>
      <c r="K379" t="s">
        <v>49</v>
      </c>
      <c r="L379" s="10">
        <v>45241</v>
      </c>
      <c r="M379" t="s">
        <v>24</v>
      </c>
      <c r="N379">
        <v>1196217.07</v>
      </c>
      <c r="O379" t="s">
        <v>25</v>
      </c>
      <c r="P379" s="10">
        <v>45231</v>
      </c>
      <c r="Q379">
        <v>119830.79</v>
      </c>
      <c r="R379">
        <v>0</v>
      </c>
      <c r="S379" t="s">
        <v>1098</v>
      </c>
      <c r="T379" t="s">
        <v>1095</v>
      </c>
    </row>
    <row r="380" spans="1:20" x14ac:dyDescent="0.3">
      <c r="A380" t="s">
        <v>846</v>
      </c>
      <c r="B380">
        <v>459550</v>
      </c>
      <c r="C380" t="s">
        <v>847</v>
      </c>
      <c r="D380">
        <v>798399336730</v>
      </c>
      <c r="E380" t="s">
        <v>35</v>
      </c>
      <c r="F380" t="s">
        <v>60</v>
      </c>
      <c r="G380" t="s">
        <v>61</v>
      </c>
      <c r="H380" t="s">
        <v>31</v>
      </c>
      <c r="I380" t="s">
        <v>53</v>
      </c>
      <c r="J380">
        <v>186576.31</v>
      </c>
      <c r="K380" t="s">
        <v>49</v>
      </c>
      <c r="L380" s="10">
        <v>45294</v>
      </c>
      <c r="M380" t="s">
        <v>24</v>
      </c>
      <c r="N380">
        <v>2009292.64</v>
      </c>
      <c r="O380" t="s">
        <v>25</v>
      </c>
      <c r="P380" s="10">
        <v>45292</v>
      </c>
      <c r="Q380">
        <v>186576.31</v>
      </c>
      <c r="R380">
        <v>0</v>
      </c>
      <c r="S380" t="s">
        <v>1098</v>
      </c>
      <c r="T380" t="s">
        <v>1095</v>
      </c>
    </row>
    <row r="381" spans="1:20" x14ac:dyDescent="0.3">
      <c r="A381" t="s">
        <v>848</v>
      </c>
      <c r="B381">
        <v>954780</v>
      </c>
      <c r="C381" t="s">
        <v>849</v>
      </c>
      <c r="D381">
        <v>791330814917</v>
      </c>
      <c r="E381" t="s">
        <v>18</v>
      </c>
      <c r="F381" t="s">
        <v>156</v>
      </c>
      <c r="G381" t="s">
        <v>157</v>
      </c>
      <c r="H381" t="s">
        <v>31</v>
      </c>
      <c r="I381" t="s">
        <v>48</v>
      </c>
      <c r="J381">
        <v>189202.98</v>
      </c>
      <c r="K381" t="s">
        <v>23</v>
      </c>
      <c r="L381" s="10">
        <v>45787</v>
      </c>
      <c r="M381" t="s">
        <v>24</v>
      </c>
      <c r="N381">
        <v>1137529.71</v>
      </c>
      <c r="O381" t="s">
        <v>25</v>
      </c>
      <c r="P381" s="10">
        <v>45778</v>
      </c>
      <c r="Q381">
        <v>189202.98</v>
      </c>
      <c r="R381">
        <v>0</v>
      </c>
      <c r="S381" t="s">
        <v>1097</v>
      </c>
      <c r="T381" t="s">
        <v>1095</v>
      </c>
    </row>
    <row r="382" spans="1:20" x14ac:dyDescent="0.3">
      <c r="A382" t="s">
        <v>850</v>
      </c>
      <c r="B382">
        <v>171459</v>
      </c>
      <c r="C382" t="s">
        <v>851</v>
      </c>
      <c r="D382">
        <v>135190882700</v>
      </c>
      <c r="E382" t="s">
        <v>18</v>
      </c>
      <c r="F382" t="s">
        <v>19</v>
      </c>
      <c r="G382" t="s">
        <v>20</v>
      </c>
      <c r="H382" t="s">
        <v>21</v>
      </c>
      <c r="I382" t="s">
        <v>48</v>
      </c>
      <c r="J382">
        <v>102192.65</v>
      </c>
      <c r="K382" t="s">
        <v>49</v>
      </c>
      <c r="L382" s="10">
        <v>45237</v>
      </c>
      <c r="M382" t="s">
        <v>24</v>
      </c>
      <c r="N382">
        <v>564240.30999999994</v>
      </c>
      <c r="O382" t="s">
        <v>25</v>
      </c>
      <c r="P382" s="10">
        <v>45231</v>
      </c>
      <c r="Q382">
        <v>102192.65</v>
      </c>
      <c r="R382">
        <v>0</v>
      </c>
      <c r="S382" t="s">
        <v>1098</v>
      </c>
      <c r="T382" t="s">
        <v>1095</v>
      </c>
    </row>
    <row r="383" spans="1:20" x14ac:dyDescent="0.3">
      <c r="A383" t="s">
        <v>852</v>
      </c>
      <c r="B383">
        <v>568881</v>
      </c>
      <c r="C383" t="s">
        <v>853</v>
      </c>
      <c r="D383">
        <v>470200000951</v>
      </c>
      <c r="E383" t="s">
        <v>18</v>
      </c>
      <c r="F383" t="s">
        <v>19</v>
      </c>
      <c r="G383" t="s">
        <v>20</v>
      </c>
      <c r="H383" t="s">
        <v>21</v>
      </c>
      <c r="I383" t="s">
        <v>38</v>
      </c>
      <c r="J383">
        <v>20767.88</v>
      </c>
      <c r="K383" t="s">
        <v>32</v>
      </c>
      <c r="L383" s="10">
        <v>45449</v>
      </c>
      <c r="M383" t="s">
        <v>24</v>
      </c>
      <c r="N383">
        <v>1654884.72</v>
      </c>
      <c r="O383" t="s">
        <v>25</v>
      </c>
      <c r="P383" s="10">
        <v>45444</v>
      </c>
      <c r="Q383">
        <v>-20767.88</v>
      </c>
      <c r="R383">
        <v>0</v>
      </c>
      <c r="S383" t="s">
        <v>1098</v>
      </c>
      <c r="T383" t="s">
        <v>1095</v>
      </c>
    </row>
    <row r="384" spans="1:20" x14ac:dyDescent="0.3">
      <c r="A384" t="s">
        <v>854</v>
      </c>
      <c r="B384">
        <v>179714</v>
      </c>
      <c r="C384" t="s">
        <v>855</v>
      </c>
      <c r="D384">
        <v>501001062311</v>
      </c>
      <c r="E384" t="s">
        <v>35</v>
      </c>
      <c r="F384" t="s">
        <v>42</v>
      </c>
      <c r="G384" t="s">
        <v>43</v>
      </c>
      <c r="H384" t="s">
        <v>31</v>
      </c>
      <c r="I384" t="s">
        <v>38</v>
      </c>
      <c r="J384">
        <v>84312.88</v>
      </c>
      <c r="K384" t="s">
        <v>49</v>
      </c>
      <c r="L384" s="10">
        <v>45697</v>
      </c>
      <c r="M384" t="s">
        <v>24</v>
      </c>
      <c r="N384">
        <v>812688.42</v>
      </c>
      <c r="O384" t="s">
        <v>25</v>
      </c>
      <c r="P384" s="10">
        <v>45689</v>
      </c>
      <c r="Q384">
        <v>-84312.88</v>
      </c>
      <c r="R384">
        <v>0</v>
      </c>
      <c r="S384" t="s">
        <v>1098</v>
      </c>
      <c r="T384" t="s">
        <v>1095</v>
      </c>
    </row>
    <row r="385" spans="1:20" x14ac:dyDescent="0.3">
      <c r="A385" t="s">
        <v>856</v>
      </c>
      <c r="B385">
        <v>507234</v>
      </c>
      <c r="C385" t="s">
        <v>857</v>
      </c>
      <c r="D385">
        <v>878851872657</v>
      </c>
      <c r="E385" t="s">
        <v>91</v>
      </c>
      <c r="F385" t="s">
        <v>109</v>
      </c>
      <c r="G385" t="s">
        <v>110</v>
      </c>
      <c r="H385" t="s">
        <v>67</v>
      </c>
      <c r="I385" t="s">
        <v>22</v>
      </c>
      <c r="J385">
        <v>50275.6</v>
      </c>
      <c r="K385" t="s">
        <v>49</v>
      </c>
      <c r="L385" s="10">
        <v>45168</v>
      </c>
      <c r="M385" t="s">
        <v>24</v>
      </c>
      <c r="N385">
        <v>957657.80999999994</v>
      </c>
      <c r="O385" t="s">
        <v>25</v>
      </c>
      <c r="P385" s="10">
        <v>45139</v>
      </c>
      <c r="Q385">
        <v>50275.6</v>
      </c>
      <c r="R385">
        <v>0</v>
      </c>
      <c r="S385" t="s">
        <v>1098</v>
      </c>
      <c r="T385" t="s">
        <v>1095</v>
      </c>
    </row>
    <row r="386" spans="1:20" x14ac:dyDescent="0.3">
      <c r="A386" t="s">
        <v>858</v>
      </c>
      <c r="B386">
        <v>943899</v>
      </c>
      <c r="C386" t="s">
        <v>859</v>
      </c>
      <c r="D386">
        <v>474125754877</v>
      </c>
      <c r="E386" t="s">
        <v>91</v>
      </c>
      <c r="F386" t="s">
        <v>105</v>
      </c>
      <c r="G386" t="s">
        <v>106</v>
      </c>
      <c r="H386" t="s">
        <v>31</v>
      </c>
      <c r="I386" t="s">
        <v>22</v>
      </c>
      <c r="J386">
        <v>59673.87</v>
      </c>
      <c r="K386" t="s">
        <v>98</v>
      </c>
      <c r="L386" s="10">
        <v>45415</v>
      </c>
      <c r="M386" t="s">
        <v>24</v>
      </c>
      <c r="N386">
        <v>2031243.6</v>
      </c>
      <c r="O386" t="s">
        <v>25</v>
      </c>
      <c r="P386" s="10">
        <v>45413</v>
      </c>
      <c r="Q386">
        <v>59673.87</v>
      </c>
      <c r="R386">
        <v>0</v>
      </c>
      <c r="S386" t="s">
        <v>1098</v>
      </c>
      <c r="T386" t="s">
        <v>1095</v>
      </c>
    </row>
    <row r="387" spans="1:20" x14ac:dyDescent="0.3">
      <c r="A387" t="s">
        <v>860</v>
      </c>
      <c r="B387">
        <v>722523</v>
      </c>
      <c r="C387" t="s">
        <v>861</v>
      </c>
      <c r="D387">
        <v>498653114225</v>
      </c>
      <c r="E387" t="s">
        <v>18</v>
      </c>
      <c r="F387" t="s">
        <v>87</v>
      </c>
      <c r="G387" t="s">
        <v>88</v>
      </c>
      <c r="H387" t="s">
        <v>31</v>
      </c>
      <c r="I387" t="s">
        <v>22</v>
      </c>
      <c r="J387">
        <v>332407.67</v>
      </c>
      <c r="K387" t="s">
        <v>49</v>
      </c>
      <c r="L387" s="10">
        <v>45616</v>
      </c>
      <c r="M387" t="s">
        <v>24</v>
      </c>
      <c r="N387">
        <v>455920.87</v>
      </c>
      <c r="O387" t="s">
        <v>25</v>
      </c>
      <c r="P387" s="10">
        <v>45597</v>
      </c>
      <c r="Q387">
        <v>332407.67</v>
      </c>
      <c r="R387">
        <v>0</v>
      </c>
      <c r="S387" t="s">
        <v>1098</v>
      </c>
      <c r="T387" t="s">
        <v>1095</v>
      </c>
    </row>
    <row r="388" spans="1:20" x14ac:dyDescent="0.3">
      <c r="A388" t="s">
        <v>862</v>
      </c>
      <c r="B388">
        <v>427315</v>
      </c>
      <c r="C388" t="s">
        <v>863</v>
      </c>
      <c r="D388">
        <v>638707911830</v>
      </c>
      <c r="E388" t="s">
        <v>18</v>
      </c>
      <c r="F388" t="s">
        <v>46</v>
      </c>
      <c r="G388" t="s">
        <v>47</v>
      </c>
      <c r="H388" t="s">
        <v>21</v>
      </c>
      <c r="I388" t="s">
        <v>53</v>
      </c>
      <c r="J388">
        <v>350133.78</v>
      </c>
      <c r="K388" t="s">
        <v>98</v>
      </c>
      <c r="L388" s="10">
        <v>45690</v>
      </c>
      <c r="M388" t="s">
        <v>24</v>
      </c>
      <c r="N388">
        <v>1597588.23</v>
      </c>
      <c r="O388" t="s">
        <v>25</v>
      </c>
      <c r="P388" s="10">
        <v>45689</v>
      </c>
      <c r="Q388">
        <v>350133.78</v>
      </c>
      <c r="R388">
        <v>0</v>
      </c>
      <c r="S388" t="s">
        <v>1098</v>
      </c>
      <c r="T388" t="s">
        <v>1095</v>
      </c>
    </row>
    <row r="389" spans="1:20" x14ac:dyDescent="0.3">
      <c r="A389" t="s">
        <v>864</v>
      </c>
      <c r="B389">
        <v>528399</v>
      </c>
      <c r="C389" t="s">
        <v>865</v>
      </c>
      <c r="D389">
        <v>255848490692</v>
      </c>
      <c r="E389" t="s">
        <v>64</v>
      </c>
      <c r="F389" t="s">
        <v>83</v>
      </c>
      <c r="G389" t="s">
        <v>84</v>
      </c>
      <c r="H389" t="s">
        <v>70</v>
      </c>
      <c r="I389" t="s">
        <v>38</v>
      </c>
      <c r="J389">
        <v>23309.68</v>
      </c>
      <c r="K389" t="s">
        <v>98</v>
      </c>
      <c r="L389" s="10">
        <v>45632</v>
      </c>
      <c r="M389" t="s">
        <v>24</v>
      </c>
      <c r="N389">
        <v>1385627.33</v>
      </c>
      <c r="O389" t="s">
        <v>25</v>
      </c>
      <c r="P389" s="10">
        <v>45627</v>
      </c>
      <c r="Q389">
        <v>-23309.68</v>
      </c>
      <c r="R389">
        <v>0</v>
      </c>
      <c r="S389" t="s">
        <v>1098</v>
      </c>
      <c r="T389" t="s">
        <v>1095</v>
      </c>
    </row>
    <row r="390" spans="1:20" x14ac:dyDescent="0.3">
      <c r="A390" t="s">
        <v>866</v>
      </c>
      <c r="B390">
        <v>464910</v>
      </c>
      <c r="C390" t="s">
        <v>867</v>
      </c>
      <c r="D390">
        <v>539041777767</v>
      </c>
      <c r="E390" t="s">
        <v>35</v>
      </c>
      <c r="F390" t="s">
        <v>36</v>
      </c>
      <c r="G390" t="s">
        <v>37</v>
      </c>
      <c r="H390" t="s">
        <v>31</v>
      </c>
      <c r="I390" t="s">
        <v>48</v>
      </c>
      <c r="J390">
        <v>286156.07</v>
      </c>
      <c r="K390" t="s">
        <v>32</v>
      </c>
      <c r="L390" s="10">
        <v>45548</v>
      </c>
      <c r="M390" t="s">
        <v>113</v>
      </c>
      <c r="N390">
        <v>563593.56000000006</v>
      </c>
      <c r="O390" t="s">
        <v>25</v>
      </c>
      <c r="P390" s="10">
        <v>45536</v>
      </c>
      <c r="Q390">
        <v>286156.07</v>
      </c>
      <c r="R390">
        <v>0</v>
      </c>
      <c r="S390" t="s">
        <v>1098</v>
      </c>
      <c r="T390" t="s">
        <v>1095</v>
      </c>
    </row>
    <row r="391" spans="1:20" x14ac:dyDescent="0.3">
      <c r="A391" t="s">
        <v>868</v>
      </c>
      <c r="B391">
        <v>524813</v>
      </c>
      <c r="C391" t="s">
        <v>869</v>
      </c>
      <c r="D391">
        <v>845243604313</v>
      </c>
      <c r="E391" t="s">
        <v>91</v>
      </c>
      <c r="F391" t="s">
        <v>162</v>
      </c>
      <c r="G391" t="s">
        <v>163</v>
      </c>
      <c r="H391" t="s">
        <v>70</v>
      </c>
      <c r="I391" t="s">
        <v>22</v>
      </c>
      <c r="J391">
        <v>363834.7</v>
      </c>
      <c r="K391" t="s">
        <v>32</v>
      </c>
      <c r="L391" s="10">
        <v>45172</v>
      </c>
      <c r="M391" t="s">
        <v>24</v>
      </c>
      <c r="N391">
        <v>1065625.76</v>
      </c>
      <c r="O391" t="s">
        <v>25</v>
      </c>
      <c r="P391" s="10">
        <v>45170</v>
      </c>
      <c r="Q391">
        <v>363834.7</v>
      </c>
      <c r="R391">
        <v>0</v>
      </c>
      <c r="S391" t="s">
        <v>1098</v>
      </c>
      <c r="T391" t="s">
        <v>1095</v>
      </c>
    </row>
    <row r="392" spans="1:20" x14ac:dyDescent="0.3">
      <c r="A392" t="s">
        <v>870</v>
      </c>
      <c r="B392">
        <v>530475</v>
      </c>
      <c r="C392" t="s">
        <v>871</v>
      </c>
      <c r="D392">
        <v>810813549197</v>
      </c>
      <c r="E392" t="s">
        <v>28</v>
      </c>
      <c r="F392" t="s">
        <v>216</v>
      </c>
      <c r="G392" t="s">
        <v>217</v>
      </c>
      <c r="H392" t="s">
        <v>31</v>
      </c>
      <c r="I392" t="s">
        <v>22</v>
      </c>
      <c r="J392">
        <v>138404.46</v>
      </c>
      <c r="K392" t="s">
        <v>49</v>
      </c>
      <c r="L392" s="10">
        <v>45215</v>
      </c>
      <c r="M392" t="s">
        <v>24</v>
      </c>
      <c r="N392">
        <v>254646.03</v>
      </c>
      <c r="O392" t="s">
        <v>25</v>
      </c>
      <c r="P392" s="10">
        <v>45200</v>
      </c>
      <c r="Q392">
        <v>138404.46</v>
      </c>
      <c r="R392">
        <v>0</v>
      </c>
      <c r="S392" t="s">
        <v>1098</v>
      </c>
      <c r="T392" t="s">
        <v>1095</v>
      </c>
    </row>
    <row r="393" spans="1:20" x14ac:dyDescent="0.3">
      <c r="A393" t="s">
        <v>872</v>
      </c>
      <c r="B393">
        <v>842079</v>
      </c>
      <c r="C393" t="s">
        <v>873</v>
      </c>
      <c r="D393">
        <v>185744473826</v>
      </c>
      <c r="E393" t="s">
        <v>91</v>
      </c>
      <c r="F393" t="s">
        <v>92</v>
      </c>
      <c r="G393" t="s">
        <v>93</v>
      </c>
      <c r="H393" t="s">
        <v>67</v>
      </c>
      <c r="I393" t="s">
        <v>53</v>
      </c>
      <c r="J393">
        <v>174088.39</v>
      </c>
      <c r="K393" t="s">
        <v>98</v>
      </c>
      <c r="L393" s="10">
        <v>45576</v>
      </c>
      <c r="M393" t="s">
        <v>24</v>
      </c>
      <c r="N393">
        <v>913093.72</v>
      </c>
      <c r="O393" t="s">
        <v>25</v>
      </c>
      <c r="P393" s="10">
        <v>45566</v>
      </c>
      <c r="Q393">
        <v>174088.39</v>
      </c>
      <c r="R393">
        <v>0</v>
      </c>
      <c r="S393" t="s">
        <v>1098</v>
      </c>
      <c r="T393" t="s">
        <v>1095</v>
      </c>
    </row>
    <row r="394" spans="1:20" x14ac:dyDescent="0.3">
      <c r="A394" t="s">
        <v>874</v>
      </c>
      <c r="B394">
        <v>316483</v>
      </c>
      <c r="C394" t="s">
        <v>875</v>
      </c>
      <c r="D394">
        <v>370264472621</v>
      </c>
      <c r="E394" t="s">
        <v>64</v>
      </c>
      <c r="F394" t="s">
        <v>177</v>
      </c>
      <c r="G394" t="s">
        <v>178</v>
      </c>
      <c r="H394" t="s">
        <v>21</v>
      </c>
      <c r="I394" t="s">
        <v>53</v>
      </c>
      <c r="J394">
        <v>17664.689999999999</v>
      </c>
      <c r="K394" t="s">
        <v>49</v>
      </c>
      <c r="L394" s="10">
        <v>45768</v>
      </c>
      <c r="M394" t="s">
        <v>24</v>
      </c>
      <c r="N394">
        <v>192599.89</v>
      </c>
      <c r="O394" t="s">
        <v>25</v>
      </c>
      <c r="P394" s="10">
        <v>45748</v>
      </c>
      <c r="Q394">
        <v>17664.689999999999</v>
      </c>
      <c r="R394">
        <v>0</v>
      </c>
      <c r="S394" t="s">
        <v>1098</v>
      </c>
      <c r="T394" t="s">
        <v>1095</v>
      </c>
    </row>
    <row r="395" spans="1:20" x14ac:dyDescent="0.3">
      <c r="A395" t="s">
        <v>876</v>
      </c>
      <c r="B395">
        <v>167811</v>
      </c>
      <c r="C395" t="s">
        <v>877</v>
      </c>
      <c r="D395">
        <v>268731699044</v>
      </c>
      <c r="E395" t="s">
        <v>91</v>
      </c>
      <c r="F395" t="s">
        <v>130</v>
      </c>
      <c r="G395" t="s">
        <v>131</v>
      </c>
      <c r="H395" t="s">
        <v>67</v>
      </c>
      <c r="I395" t="s">
        <v>53</v>
      </c>
      <c r="J395">
        <v>35630.32</v>
      </c>
      <c r="K395" t="s">
        <v>23</v>
      </c>
      <c r="L395" s="10">
        <v>45199</v>
      </c>
      <c r="M395" t="s">
        <v>24</v>
      </c>
      <c r="N395">
        <v>972098.69</v>
      </c>
      <c r="O395" t="s">
        <v>25</v>
      </c>
      <c r="P395" s="10">
        <v>45170</v>
      </c>
      <c r="Q395">
        <v>35630.32</v>
      </c>
      <c r="R395">
        <v>0</v>
      </c>
      <c r="S395" t="s">
        <v>1097</v>
      </c>
      <c r="T395" t="s">
        <v>1095</v>
      </c>
    </row>
    <row r="396" spans="1:20" x14ac:dyDescent="0.3">
      <c r="A396" t="s">
        <v>878</v>
      </c>
      <c r="B396">
        <v>734296</v>
      </c>
      <c r="C396" t="s">
        <v>879</v>
      </c>
      <c r="D396">
        <v>929691446167</v>
      </c>
      <c r="E396" t="s">
        <v>18</v>
      </c>
      <c r="F396" t="s">
        <v>19</v>
      </c>
      <c r="G396" t="s">
        <v>20</v>
      </c>
      <c r="H396" t="s">
        <v>67</v>
      </c>
      <c r="I396" t="s">
        <v>53</v>
      </c>
      <c r="J396">
        <v>373735.38</v>
      </c>
      <c r="K396" t="s">
        <v>49</v>
      </c>
      <c r="L396" s="10">
        <v>45400</v>
      </c>
      <c r="M396" t="s">
        <v>24</v>
      </c>
      <c r="N396">
        <v>562280.92000000004</v>
      </c>
      <c r="O396" t="s">
        <v>25</v>
      </c>
      <c r="P396" s="10">
        <v>45383</v>
      </c>
      <c r="Q396">
        <v>373735.38</v>
      </c>
      <c r="R396">
        <v>0</v>
      </c>
      <c r="S396" t="s">
        <v>1098</v>
      </c>
      <c r="T396" t="s">
        <v>1095</v>
      </c>
    </row>
    <row r="397" spans="1:20" x14ac:dyDescent="0.3">
      <c r="A397" t="s">
        <v>880</v>
      </c>
      <c r="B397">
        <v>807933</v>
      </c>
      <c r="C397" t="s">
        <v>881</v>
      </c>
      <c r="D397">
        <v>137391799979</v>
      </c>
      <c r="E397" t="s">
        <v>35</v>
      </c>
      <c r="F397" t="s">
        <v>73</v>
      </c>
      <c r="G397" t="s">
        <v>74</v>
      </c>
      <c r="H397" t="s">
        <v>21</v>
      </c>
      <c r="I397" t="s">
        <v>48</v>
      </c>
      <c r="J397">
        <v>274709.48</v>
      </c>
      <c r="K397" t="s">
        <v>49</v>
      </c>
      <c r="L397" s="10">
        <v>45665</v>
      </c>
      <c r="M397" t="s">
        <v>24</v>
      </c>
      <c r="N397">
        <v>827374.07999999996</v>
      </c>
      <c r="O397" t="s">
        <v>25</v>
      </c>
      <c r="P397" s="10">
        <v>45658</v>
      </c>
      <c r="Q397">
        <v>274709.48</v>
      </c>
      <c r="R397">
        <v>0</v>
      </c>
      <c r="S397" t="s">
        <v>1098</v>
      </c>
      <c r="T397" t="s">
        <v>1095</v>
      </c>
    </row>
    <row r="398" spans="1:20" x14ac:dyDescent="0.3">
      <c r="A398" t="s">
        <v>882</v>
      </c>
      <c r="B398">
        <v>595797</v>
      </c>
      <c r="C398" t="s">
        <v>883</v>
      </c>
      <c r="D398">
        <v>206574366417</v>
      </c>
      <c r="E398" t="s">
        <v>64</v>
      </c>
      <c r="F398" t="s">
        <v>166</v>
      </c>
      <c r="G398" t="s">
        <v>167</v>
      </c>
      <c r="H398" t="s">
        <v>31</v>
      </c>
      <c r="I398" t="s">
        <v>38</v>
      </c>
      <c r="J398">
        <v>47207.39</v>
      </c>
      <c r="K398" t="s">
        <v>32</v>
      </c>
      <c r="L398" s="10">
        <v>45681</v>
      </c>
      <c r="M398" t="s">
        <v>24</v>
      </c>
      <c r="N398">
        <v>1330535.8400000001</v>
      </c>
      <c r="O398" t="s">
        <v>25</v>
      </c>
      <c r="P398" s="10">
        <v>45658</v>
      </c>
      <c r="Q398">
        <v>-47207.39</v>
      </c>
      <c r="R398">
        <v>0</v>
      </c>
      <c r="S398" t="s">
        <v>1098</v>
      </c>
      <c r="T398" t="s">
        <v>1095</v>
      </c>
    </row>
    <row r="399" spans="1:20" x14ac:dyDescent="0.3">
      <c r="A399" t="s">
        <v>884</v>
      </c>
      <c r="B399">
        <v>638327</v>
      </c>
      <c r="C399" t="s">
        <v>885</v>
      </c>
      <c r="D399">
        <v>886848235656</v>
      </c>
      <c r="E399" t="s">
        <v>64</v>
      </c>
      <c r="F399" t="s">
        <v>146</v>
      </c>
      <c r="G399" t="s">
        <v>147</v>
      </c>
      <c r="H399" t="s">
        <v>21</v>
      </c>
      <c r="I399" t="s">
        <v>48</v>
      </c>
      <c r="J399">
        <v>53920.36</v>
      </c>
      <c r="K399" t="s">
        <v>49</v>
      </c>
      <c r="L399" s="10">
        <v>45347</v>
      </c>
      <c r="M399" t="s">
        <v>24</v>
      </c>
      <c r="N399">
        <v>557423.14</v>
      </c>
      <c r="O399" t="s">
        <v>25</v>
      </c>
      <c r="P399" s="10">
        <v>45323</v>
      </c>
      <c r="Q399">
        <v>53920.36</v>
      </c>
      <c r="R399">
        <v>0</v>
      </c>
      <c r="S399" t="s">
        <v>1098</v>
      </c>
      <c r="T399" t="s">
        <v>1095</v>
      </c>
    </row>
    <row r="400" spans="1:20" x14ac:dyDescent="0.3">
      <c r="A400" t="s">
        <v>886</v>
      </c>
      <c r="B400">
        <v>154017</v>
      </c>
      <c r="C400" t="s">
        <v>887</v>
      </c>
      <c r="D400">
        <v>399275894137</v>
      </c>
      <c r="E400" t="s">
        <v>64</v>
      </c>
      <c r="F400" t="s">
        <v>146</v>
      </c>
      <c r="G400" t="s">
        <v>147</v>
      </c>
      <c r="H400" t="s">
        <v>31</v>
      </c>
      <c r="I400" t="s">
        <v>48</v>
      </c>
      <c r="J400">
        <v>10220.280000000001</v>
      </c>
      <c r="K400" t="s">
        <v>98</v>
      </c>
      <c r="L400" s="10">
        <v>45279</v>
      </c>
      <c r="M400" t="s">
        <v>24</v>
      </c>
      <c r="N400">
        <v>1490511.61</v>
      </c>
      <c r="O400" t="s">
        <v>25</v>
      </c>
      <c r="P400" s="10">
        <v>45261</v>
      </c>
      <c r="Q400">
        <v>10220.280000000001</v>
      </c>
      <c r="R400">
        <v>0</v>
      </c>
      <c r="S400" t="s">
        <v>1098</v>
      </c>
      <c r="T400" t="s">
        <v>1095</v>
      </c>
    </row>
    <row r="401" spans="1:20" x14ac:dyDescent="0.3">
      <c r="A401" t="s">
        <v>888</v>
      </c>
      <c r="B401">
        <v>764808</v>
      </c>
      <c r="C401" t="s">
        <v>889</v>
      </c>
      <c r="D401">
        <v>790847728908</v>
      </c>
      <c r="E401" t="s">
        <v>91</v>
      </c>
      <c r="F401" t="s">
        <v>105</v>
      </c>
      <c r="G401" t="s">
        <v>106</v>
      </c>
      <c r="H401" t="s">
        <v>21</v>
      </c>
      <c r="I401" t="s">
        <v>48</v>
      </c>
      <c r="J401">
        <v>206210.04</v>
      </c>
      <c r="K401" t="s">
        <v>49</v>
      </c>
      <c r="L401" s="10">
        <v>45685</v>
      </c>
      <c r="M401" t="s">
        <v>24</v>
      </c>
      <c r="N401">
        <v>2094313.48</v>
      </c>
      <c r="O401" t="s">
        <v>25</v>
      </c>
      <c r="P401" s="10">
        <v>45658</v>
      </c>
      <c r="Q401">
        <v>206210.04</v>
      </c>
      <c r="R401">
        <v>0</v>
      </c>
      <c r="S401" t="s">
        <v>1098</v>
      </c>
      <c r="T401" t="s">
        <v>1095</v>
      </c>
    </row>
    <row r="402" spans="1:20" x14ac:dyDescent="0.3">
      <c r="A402" t="s">
        <v>890</v>
      </c>
      <c r="B402">
        <v>423000</v>
      </c>
      <c r="C402" t="s">
        <v>891</v>
      </c>
      <c r="D402">
        <v>920735094027</v>
      </c>
      <c r="E402" t="s">
        <v>64</v>
      </c>
      <c r="F402" t="s">
        <v>177</v>
      </c>
      <c r="G402" t="s">
        <v>178</v>
      </c>
      <c r="H402" t="s">
        <v>21</v>
      </c>
      <c r="I402" t="s">
        <v>48</v>
      </c>
      <c r="J402">
        <v>215474.39</v>
      </c>
      <c r="K402" t="s">
        <v>39</v>
      </c>
      <c r="L402" s="10">
        <v>45573</v>
      </c>
      <c r="M402" t="s">
        <v>24</v>
      </c>
      <c r="N402">
        <v>1178451.6100000001</v>
      </c>
      <c r="O402" t="s">
        <v>25</v>
      </c>
      <c r="P402" s="10">
        <v>45566</v>
      </c>
      <c r="Q402">
        <v>215474.39</v>
      </c>
      <c r="R402">
        <v>0</v>
      </c>
      <c r="S402" t="s">
        <v>1098</v>
      </c>
      <c r="T402" t="s">
        <v>1095</v>
      </c>
    </row>
    <row r="403" spans="1:20" x14ac:dyDescent="0.3">
      <c r="A403" t="s">
        <v>892</v>
      </c>
      <c r="B403">
        <v>130377</v>
      </c>
      <c r="C403" t="s">
        <v>893</v>
      </c>
      <c r="D403">
        <v>985849548224</v>
      </c>
      <c r="E403" t="s">
        <v>35</v>
      </c>
      <c r="F403" t="s">
        <v>73</v>
      </c>
      <c r="G403" t="s">
        <v>74</v>
      </c>
      <c r="H403" t="s">
        <v>67</v>
      </c>
      <c r="I403" t="s">
        <v>48</v>
      </c>
      <c r="J403">
        <v>70527.759999999995</v>
      </c>
      <c r="K403" t="s">
        <v>32</v>
      </c>
      <c r="L403" s="10">
        <v>45541</v>
      </c>
      <c r="M403" t="s">
        <v>24</v>
      </c>
      <c r="N403">
        <v>379125.15</v>
      </c>
      <c r="O403" t="s">
        <v>25</v>
      </c>
      <c r="P403" s="10">
        <v>45536</v>
      </c>
      <c r="Q403">
        <v>70527.759999999995</v>
      </c>
      <c r="R403">
        <v>0</v>
      </c>
      <c r="S403" t="s">
        <v>1098</v>
      </c>
      <c r="T403" t="s">
        <v>1095</v>
      </c>
    </row>
    <row r="404" spans="1:20" x14ac:dyDescent="0.3">
      <c r="A404" t="s">
        <v>894</v>
      </c>
      <c r="B404">
        <v>460288</v>
      </c>
      <c r="C404" t="s">
        <v>895</v>
      </c>
      <c r="D404">
        <v>843965511244</v>
      </c>
      <c r="E404" t="s">
        <v>91</v>
      </c>
      <c r="F404" t="s">
        <v>162</v>
      </c>
      <c r="G404" t="s">
        <v>163</v>
      </c>
      <c r="H404" t="s">
        <v>21</v>
      </c>
      <c r="I404" t="s">
        <v>22</v>
      </c>
      <c r="J404">
        <v>512577</v>
      </c>
      <c r="K404" t="s">
        <v>32</v>
      </c>
      <c r="L404" s="10">
        <v>45303</v>
      </c>
      <c r="M404" t="s">
        <v>24</v>
      </c>
      <c r="N404">
        <v>1566981.75</v>
      </c>
      <c r="O404" t="s">
        <v>25</v>
      </c>
      <c r="P404" s="10">
        <v>45292</v>
      </c>
      <c r="Q404">
        <v>512577</v>
      </c>
      <c r="R404">
        <v>0</v>
      </c>
      <c r="S404" t="s">
        <v>1098</v>
      </c>
      <c r="T404" t="s">
        <v>1095</v>
      </c>
    </row>
    <row r="405" spans="1:20" x14ac:dyDescent="0.3">
      <c r="A405" t="s">
        <v>896</v>
      </c>
      <c r="B405">
        <v>965955</v>
      </c>
      <c r="C405" t="s">
        <v>897</v>
      </c>
      <c r="D405">
        <v>737028625937</v>
      </c>
      <c r="E405" t="s">
        <v>91</v>
      </c>
      <c r="F405" t="s">
        <v>109</v>
      </c>
      <c r="G405" t="s">
        <v>110</v>
      </c>
      <c r="H405" t="s">
        <v>21</v>
      </c>
      <c r="I405" t="s">
        <v>48</v>
      </c>
      <c r="J405">
        <v>155790.78</v>
      </c>
      <c r="K405" t="s">
        <v>32</v>
      </c>
      <c r="L405" s="10">
        <v>45428</v>
      </c>
      <c r="M405" t="s">
        <v>113</v>
      </c>
      <c r="N405">
        <v>1689624.8</v>
      </c>
      <c r="O405" t="s">
        <v>25</v>
      </c>
      <c r="P405" s="10">
        <v>45413</v>
      </c>
      <c r="Q405">
        <v>155790.78</v>
      </c>
      <c r="R405">
        <v>0</v>
      </c>
      <c r="S405" t="s">
        <v>1098</v>
      </c>
      <c r="T405" t="s">
        <v>1095</v>
      </c>
    </row>
    <row r="406" spans="1:20" x14ac:dyDescent="0.3">
      <c r="A406" t="s">
        <v>898</v>
      </c>
      <c r="B406">
        <v>118796</v>
      </c>
      <c r="C406" t="s">
        <v>899</v>
      </c>
      <c r="D406">
        <v>680174339647</v>
      </c>
      <c r="E406" t="s">
        <v>91</v>
      </c>
      <c r="F406" t="s">
        <v>109</v>
      </c>
      <c r="G406" t="s">
        <v>110</v>
      </c>
      <c r="H406" t="s">
        <v>31</v>
      </c>
      <c r="I406" t="s">
        <v>38</v>
      </c>
      <c r="J406">
        <v>65204.76</v>
      </c>
      <c r="K406" t="s">
        <v>23</v>
      </c>
      <c r="L406" s="10">
        <v>45440</v>
      </c>
      <c r="M406" t="s">
        <v>24</v>
      </c>
      <c r="N406">
        <v>1799671.19</v>
      </c>
      <c r="O406" t="s">
        <v>25</v>
      </c>
      <c r="P406" s="10">
        <v>45413</v>
      </c>
      <c r="Q406">
        <v>-65204.76</v>
      </c>
      <c r="R406">
        <v>0</v>
      </c>
      <c r="S406" t="s">
        <v>1097</v>
      </c>
      <c r="T406" t="s">
        <v>1095</v>
      </c>
    </row>
    <row r="407" spans="1:20" x14ac:dyDescent="0.3">
      <c r="A407" t="s">
        <v>900</v>
      </c>
      <c r="B407">
        <v>812461</v>
      </c>
      <c r="C407" t="s">
        <v>901</v>
      </c>
      <c r="D407">
        <v>913958837565</v>
      </c>
      <c r="E407" t="s">
        <v>28</v>
      </c>
      <c r="F407" t="s">
        <v>216</v>
      </c>
      <c r="G407" t="s">
        <v>217</v>
      </c>
      <c r="H407" t="s">
        <v>67</v>
      </c>
      <c r="I407" t="s">
        <v>38</v>
      </c>
      <c r="J407">
        <v>99147.16</v>
      </c>
      <c r="K407" t="s">
        <v>49</v>
      </c>
      <c r="L407" s="10">
        <v>45354</v>
      </c>
      <c r="M407" t="s">
        <v>24</v>
      </c>
      <c r="N407">
        <v>1505998.48</v>
      </c>
      <c r="O407" t="s">
        <v>25</v>
      </c>
      <c r="P407" s="10">
        <v>45352</v>
      </c>
      <c r="Q407">
        <v>-99147.16</v>
      </c>
      <c r="R407">
        <v>0</v>
      </c>
      <c r="S407" t="s">
        <v>1098</v>
      </c>
      <c r="T407" t="s">
        <v>1095</v>
      </c>
    </row>
    <row r="408" spans="1:20" x14ac:dyDescent="0.3">
      <c r="A408" t="s">
        <v>902</v>
      </c>
      <c r="B408">
        <v>655225</v>
      </c>
      <c r="C408" t="s">
        <v>903</v>
      </c>
      <c r="D408">
        <v>653731524065</v>
      </c>
      <c r="E408" t="s">
        <v>28</v>
      </c>
      <c r="F408" t="s">
        <v>192</v>
      </c>
      <c r="G408" t="s">
        <v>193</v>
      </c>
      <c r="H408" t="s">
        <v>70</v>
      </c>
      <c r="I408" t="s">
        <v>22</v>
      </c>
      <c r="J408">
        <v>380588.13</v>
      </c>
      <c r="K408" t="s">
        <v>32</v>
      </c>
      <c r="L408" s="10">
        <v>45821</v>
      </c>
      <c r="M408" t="s">
        <v>24</v>
      </c>
      <c r="N408">
        <v>2102641.09</v>
      </c>
      <c r="O408" t="s">
        <v>25</v>
      </c>
      <c r="P408" s="10">
        <v>45809</v>
      </c>
      <c r="Q408">
        <v>380588.13</v>
      </c>
      <c r="R408">
        <v>0</v>
      </c>
      <c r="S408" t="s">
        <v>1098</v>
      </c>
      <c r="T408" t="s">
        <v>1095</v>
      </c>
    </row>
    <row r="409" spans="1:20" x14ac:dyDescent="0.3">
      <c r="A409" t="s">
        <v>904</v>
      </c>
      <c r="B409">
        <v>761846</v>
      </c>
      <c r="C409" t="s">
        <v>905</v>
      </c>
      <c r="D409">
        <v>847891210164</v>
      </c>
      <c r="E409" t="s">
        <v>28</v>
      </c>
      <c r="F409" t="s">
        <v>79</v>
      </c>
      <c r="G409" t="s">
        <v>80</v>
      </c>
      <c r="H409" t="s">
        <v>67</v>
      </c>
      <c r="I409" t="s">
        <v>53</v>
      </c>
      <c r="J409">
        <v>15732.38</v>
      </c>
      <c r="K409" t="s">
        <v>98</v>
      </c>
      <c r="L409" s="10">
        <v>45366</v>
      </c>
      <c r="M409" t="s">
        <v>24</v>
      </c>
      <c r="N409">
        <v>1410079.97</v>
      </c>
      <c r="O409" t="s">
        <v>179</v>
      </c>
      <c r="P409" s="10">
        <v>45352</v>
      </c>
      <c r="Q409">
        <v>15732.38</v>
      </c>
      <c r="R409">
        <v>1</v>
      </c>
      <c r="S409" t="s">
        <v>1098</v>
      </c>
      <c r="T409" t="s">
        <v>1095</v>
      </c>
    </row>
    <row r="410" spans="1:20" x14ac:dyDescent="0.3">
      <c r="A410" t="s">
        <v>906</v>
      </c>
      <c r="B410">
        <v>603602</v>
      </c>
      <c r="C410" t="s">
        <v>907</v>
      </c>
      <c r="D410">
        <v>214912003953</v>
      </c>
      <c r="E410" t="s">
        <v>28</v>
      </c>
      <c r="F410" t="s">
        <v>192</v>
      </c>
      <c r="G410" t="s">
        <v>193</v>
      </c>
      <c r="H410" t="s">
        <v>67</v>
      </c>
      <c r="I410" t="s">
        <v>48</v>
      </c>
      <c r="J410">
        <v>66658.89</v>
      </c>
      <c r="K410" t="s">
        <v>32</v>
      </c>
      <c r="L410" s="10">
        <v>45264</v>
      </c>
      <c r="M410" t="s">
        <v>24</v>
      </c>
      <c r="N410">
        <v>846851.16</v>
      </c>
      <c r="O410" t="s">
        <v>25</v>
      </c>
      <c r="P410" s="10">
        <v>45261</v>
      </c>
      <c r="Q410">
        <v>66658.89</v>
      </c>
      <c r="R410">
        <v>0</v>
      </c>
      <c r="S410" t="s">
        <v>1098</v>
      </c>
      <c r="T410" t="s">
        <v>1095</v>
      </c>
    </row>
    <row r="411" spans="1:20" x14ac:dyDescent="0.3">
      <c r="A411" t="s">
        <v>908</v>
      </c>
      <c r="B411">
        <v>771785</v>
      </c>
      <c r="C411" t="s">
        <v>909</v>
      </c>
      <c r="D411">
        <v>160325421103</v>
      </c>
      <c r="E411" t="s">
        <v>28</v>
      </c>
      <c r="F411" t="s">
        <v>29</v>
      </c>
      <c r="G411" t="s">
        <v>30</v>
      </c>
      <c r="H411" t="s">
        <v>21</v>
      </c>
      <c r="I411" t="s">
        <v>53</v>
      </c>
      <c r="J411">
        <v>15483.43</v>
      </c>
      <c r="K411" t="s">
        <v>23</v>
      </c>
      <c r="L411" s="10">
        <v>45459</v>
      </c>
      <c r="M411" t="s">
        <v>24</v>
      </c>
      <c r="N411">
        <v>338089.14</v>
      </c>
      <c r="O411" t="s">
        <v>25</v>
      </c>
      <c r="P411" s="10">
        <v>45444</v>
      </c>
      <c r="Q411">
        <v>15483.43</v>
      </c>
      <c r="R411">
        <v>0</v>
      </c>
      <c r="S411" t="s">
        <v>1097</v>
      </c>
      <c r="T411" t="s">
        <v>1095</v>
      </c>
    </row>
    <row r="412" spans="1:20" x14ac:dyDescent="0.3">
      <c r="A412" t="s">
        <v>910</v>
      </c>
      <c r="B412">
        <v>690698</v>
      </c>
      <c r="C412" t="s">
        <v>911</v>
      </c>
      <c r="D412">
        <v>602975157401</v>
      </c>
      <c r="E412" t="s">
        <v>28</v>
      </c>
      <c r="F412" t="s">
        <v>29</v>
      </c>
      <c r="G412" t="s">
        <v>30</v>
      </c>
      <c r="H412" t="s">
        <v>31</v>
      </c>
      <c r="I412" t="s">
        <v>22</v>
      </c>
      <c r="J412">
        <v>188855.58</v>
      </c>
      <c r="K412" t="s">
        <v>32</v>
      </c>
      <c r="L412" s="10">
        <v>45738</v>
      </c>
      <c r="M412" t="s">
        <v>24</v>
      </c>
      <c r="N412">
        <v>1261486.8600000001</v>
      </c>
      <c r="O412" t="s">
        <v>25</v>
      </c>
      <c r="P412" s="10">
        <v>45717</v>
      </c>
      <c r="Q412">
        <v>188855.58</v>
      </c>
      <c r="R412">
        <v>0</v>
      </c>
      <c r="S412" t="s">
        <v>1098</v>
      </c>
      <c r="T412" t="s">
        <v>1095</v>
      </c>
    </row>
    <row r="413" spans="1:20" x14ac:dyDescent="0.3">
      <c r="A413" t="s">
        <v>912</v>
      </c>
      <c r="B413">
        <v>509024</v>
      </c>
      <c r="C413" t="s">
        <v>913</v>
      </c>
      <c r="D413">
        <v>942224459011</v>
      </c>
      <c r="E413" t="s">
        <v>28</v>
      </c>
      <c r="F413" t="s">
        <v>216</v>
      </c>
      <c r="G413" t="s">
        <v>217</v>
      </c>
      <c r="H413" t="s">
        <v>31</v>
      </c>
      <c r="I413" t="s">
        <v>22</v>
      </c>
      <c r="J413">
        <v>360614.5</v>
      </c>
      <c r="K413" t="s">
        <v>98</v>
      </c>
      <c r="L413" s="10">
        <v>45365</v>
      </c>
      <c r="M413" t="s">
        <v>24</v>
      </c>
      <c r="N413">
        <v>2008641.96</v>
      </c>
      <c r="O413" t="s">
        <v>25</v>
      </c>
      <c r="P413" s="10">
        <v>45352</v>
      </c>
      <c r="Q413">
        <v>360614.5</v>
      </c>
      <c r="R413">
        <v>0</v>
      </c>
      <c r="S413" t="s">
        <v>1098</v>
      </c>
      <c r="T413" t="s">
        <v>1095</v>
      </c>
    </row>
    <row r="414" spans="1:20" x14ac:dyDescent="0.3">
      <c r="A414" t="s">
        <v>914</v>
      </c>
      <c r="B414">
        <v>659674</v>
      </c>
      <c r="C414" t="s">
        <v>915</v>
      </c>
      <c r="D414">
        <v>834218669029</v>
      </c>
      <c r="E414" t="s">
        <v>64</v>
      </c>
      <c r="F414" t="s">
        <v>83</v>
      </c>
      <c r="G414" t="s">
        <v>84</v>
      </c>
      <c r="H414" t="s">
        <v>67</v>
      </c>
      <c r="I414" t="s">
        <v>22</v>
      </c>
      <c r="J414">
        <v>473663.77</v>
      </c>
      <c r="K414" t="s">
        <v>49</v>
      </c>
      <c r="L414" s="10">
        <v>45806</v>
      </c>
      <c r="M414" t="s">
        <v>24</v>
      </c>
      <c r="N414">
        <v>1298379.1299999999</v>
      </c>
      <c r="O414" t="s">
        <v>25</v>
      </c>
      <c r="P414" s="10">
        <v>45778</v>
      </c>
      <c r="Q414">
        <v>473663.77</v>
      </c>
      <c r="R414">
        <v>0</v>
      </c>
      <c r="S414" t="s">
        <v>1098</v>
      </c>
      <c r="T414" t="s">
        <v>1095</v>
      </c>
    </row>
    <row r="415" spans="1:20" x14ac:dyDescent="0.3">
      <c r="A415" t="s">
        <v>916</v>
      </c>
      <c r="B415">
        <v>147203</v>
      </c>
      <c r="C415" t="s">
        <v>917</v>
      </c>
      <c r="D415">
        <v>554908105827</v>
      </c>
      <c r="E415" t="s">
        <v>28</v>
      </c>
      <c r="F415" t="s">
        <v>192</v>
      </c>
      <c r="G415" t="s">
        <v>193</v>
      </c>
      <c r="H415" t="s">
        <v>70</v>
      </c>
      <c r="I415" t="s">
        <v>53</v>
      </c>
      <c r="J415">
        <v>98802.85</v>
      </c>
      <c r="K415" t="s">
        <v>23</v>
      </c>
      <c r="L415" s="10">
        <v>45401</v>
      </c>
      <c r="M415" t="s">
        <v>24</v>
      </c>
      <c r="N415">
        <v>2006752.03</v>
      </c>
      <c r="O415" t="s">
        <v>25</v>
      </c>
      <c r="P415" s="10">
        <v>45383</v>
      </c>
      <c r="Q415">
        <v>98802.85</v>
      </c>
      <c r="R415">
        <v>0</v>
      </c>
      <c r="S415" t="s">
        <v>1097</v>
      </c>
      <c r="T415" t="s">
        <v>1095</v>
      </c>
    </row>
    <row r="416" spans="1:20" x14ac:dyDescent="0.3">
      <c r="A416" t="s">
        <v>918</v>
      </c>
      <c r="B416">
        <v>780768</v>
      </c>
      <c r="C416" t="s">
        <v>919</v>
      </c>
      <c r="D416">
        <v>815919059377</v>
      </c>
      <c r="E416" t="s">
        <v>91</v>
      </c>
      <c r="F416" t="s">
        <v>109</v>
      </c>
      <c r="G416" t="s">
        <v>110</v>
      </c>
      <c r="H416" t="s">
        <v>21</v>
      </c>
      <c r="I416" t="s">
        <v>53</v>
      </c>
      <c r="J416">
        <v>28863.24</v>
      </c>
      <c r="K416" t="s">
        <v>32</v>
      </c>
      <c r="L416" s="10">
        <v>45165</v>
      </c>
      <c r="M416" t="s">
        <v>24</v>
      </c>
      <c r="N416">
        <v>1761796.83</v>
      </c>
      <c r="O416" t="s">
        <v>25</v>
      </c>
      <c r="P416" s="10">
        <v>45139</v>
      </c>
      <c r="Q416">
        <v>28863.24</v>
      </c>
      <c r="R416">
        <v>0</v>
      </c>
      <c r="S416" t="s">
        <v>1098</v>
      </c>
      <c r="T416" t="s">
        <v>1095</v>
      </c>
    </row>
    <row r="417" spans="1:20" x14ac:dyDescent="0.3">
      <c r="A417" t="s">
        <v>920</v>
      </c>
      <c r="B417">
        <v>904317</v>
      </c>
      <c r="C417" t="s">
        <v>921</v>
      </c>
      <c r="D417">
        <v>634833077589</v>
      </c>
      <c r="E417" t="s">
        <v>91</v>
      </c>
      <c r="F417" t="s">
        <v>130</v>
      </c>
      <c r="G417" t="s">
        <v>131</v>
      </c>
      <c r="H417" t="s">
        <v>67</v>
      </c>
      <c r="I417" t="s">
        <v>38</v>
      </c>
      <c r="J417">
        <v>75640.210000000006</v>
      </c>
      <c r="K417" t="s">
        <v>32</v>
      </c>
      <c r="L417" s="10">
        <v>45489</v>
      </c>
      <c r="M417" t="s">
        <v>24</v>
      </c>
      <c r="N417">
        <v>1696282.05</v>
      </c>
      <c r="O417" t="s">
        <v>25</v>
      </c>
      <c r="P417" s="10">
        <v>45474</v>
      </c>
      <c r="Q417">
        <v>-75640.210000000006</v>
      </c>
      <c r="R417">
        <v>0</v>
      </c>
      <c r="S417" t="s">
        <v>1098</v>
      </c>
      <c r="T417" t="s">
        <v>1095</v>
      </c>
    </row>
    <row r="418" spans="1:20" x14ac:dyDescent="0.3">
      <c r="A418" t="s">
        <v>922</v>
      </c>
      <c r="B418">
        <v>994371</v>
      </c>
      <c r="C418" t="s">
        <v>923</v>
      </c>
      <c r="D418">
        <v>681386364839</v>
      </c>
      <c r="E418" t="s">
        <v>28</v>
      </c>
      <c r="F418" t="s">
        <v>150</v>
      </c>
      <c r="G418" t="s">
        <v>151</v>
      </c>
      <c r="H418" t="s">
        <v>70</v>
      </c>
      <c r="I418" t="s">
        <v>53</v>
      </c>
      <c r="J418">
        <v>25989.27</v>
      </c>
      <c r="K418" t="s">
        <v>49</v>
      </c>
      <c r="L418" s="10">
        <v>45727</v>
      </c>
      <c r="M418" t="s">
        <v>24</v>
      </c>
      <c r="N418">
        <v>1869459.68</v>
      </c>
      <c r="O418" t="s">
        <v>25</v>
      </c>
      <c r="P418" s="10">
        <v>45717</v>
      </c>
      <c r="Q418">
        <v>25989.27</v>
      </c>
      <c r="R418">
        <v>0</v>
      </c>
      <c r="S418" t="s">
        <v>1098</v>
      </c>
      <c r="T418" t="s">
        <v>1095</v>
      </c>
    </row>
    <row r="419" spans="1:20" x14ac:dyDescent="0.3">
      <c r="A419" t="s">
        <v>924</v>
      </c>
      <c r="B419">
        <v>544541</v>
      </c>
      <c r="C419" t="s">
        <v>925</v>
      </c>
      <c r="D419">
        <v>339699282348</v>
      </c>
      <c r="E419" t="s">
        <v>91</v>
      </c>
      <c r="F419" t="s">
        <v>109</v>
      </c>
      <c r="G419" t="s">
        <v>110</v>
      </c>
      <c r="H419" t="s">
        <v>31</v>
      </c>
      <c r="I419" t="s">
        <v>22</v>
      </c>
      <c r="J419">
        <v>306077.19</v>
      </c>
      <c r="K419" t="s">
        <v>49</v>
      </c>
      <c r="L419" s="10">
        <v>45383</v>
      </c>
      <c r="M419" t="s">
        <v>24</v>
      </c>
      <c r="N419">
        <v>445276.17</v>
      </c>
      <c r="O419" t="s">
        <v>25</v>
      </c>
      <c r="P419" s="10">
        <v>45383</v>
      </c>
      <c r="Q419">
        <v>306077.19</v>
      </c>
      <c r="R419">
        <v>0</v>
      </c>
      <c r="S419" t="s">
        <v>1098</v>
      </c>
      <c r="T419" t="s">
        <v>1095</v>
      </c>
    </row>
    <row r="420" spans="1:20" x14ac:dyDescent="0.3">
      <c r="A420" t="s">
        <v>926</v>
      </c>
      <c r="B420">
        <v>814098</v>
      </c>
      <c r="C420" t="s">
        <v>927</v>
      </c>
      <c r="D420">
        <v>634498445905</v>
      </c>
      <c r="E420" t="s">
        <v>28</v>
      </c>
      <c r="F420" t="s">
        <v>216</v>
      </c>
      <c r="G420" t="s">
        <v>217</v>
      </c>
      <c r="H420" t="s">
        <v>21</v>
      </c>
      <c r="I420" t="s">
        <v>48</v>
      </c>
      <c r="J420">
        <v>278744.09999999998</v>
      </c>
      <c r="K420" t="s">
        <v>32</v>
      </c>
      <c r="L420" s="10">
        <v>45373</v>
      </c>
      <c r="M420" t="s">
        <v>24</v>
      </c>
      <c r="N420">
        <v>946157.45</v>
      </c>
      <c r="O420" t="s">
        <v>25</v>
      </c>
      <c r="P420" s="10">
        <v>45352</v>
      </c>
      <c r="Q420">
        <v>278744.09999999998</v>
      </c>
      <c r="R420">
        <v>0</v>
      </c>
      <c r="S420" t="s">
        <v>1098</v>
      </c>
      <c r="T420" t="s">
        <v>1095</v>
      </c>
    </row>
    <row r="421" spans="1:20" x14ac:dyDescent="0.3">
      <c r="A421" t="s">
        <v>928</v>
      </c>
      <c r="B421">
        <v>362469</v>
      </c>
      <c r="C421" t="s">
        <v>929</v>
      </c>
      <c r="D421">
        <v>574613910418</v>
      </c>
      <c r="E421" t="s">
        <v>18</v>
      </c>
      <c r="F421" t="s">
        <v>46</v>
      </c>
      <c r="G421" t="s">
        <v>47</v>
      </c>
      <c r="H421" t="s">
        <v>67</v>
      </c>
      <c r="I421" t="s">
        <v>38</v>
      </c>
      <c r="J421">
        <v>19889.240000000002</v>
      </c>
      <c r="K421" t="s">
        <v>23</v>
      </c>
      <c r="L421" s="10">
        <v>45759</v>
      </c>
      <c r="M421" t="s">
        <v>24</v>
      </c>
      <c r="N421">
        <v>536984.80000000005</v>
      </c>
      <c r="O421" t="s">
        <v>25</v>
      </c>
      <c r="P421" s="10">
        <v>45748</v>
      </c>
      <c r="Q421">
        <v>-19889.240000000002</v>
      </c>
      <c r="R421">
        <v>0</v>
      </c>
      <c r="S421" t="s">
        <v>1097</v>
      </c>
      <c r="T421" t="s">
        <v>1095</v>
      </c>
    </row>
    <row r="422" spans="1:20" x14ac:dyDescent="0.3">
      <c r="A422" t="s">
        <v>930</v>
      </c>
      <c r="B422">
        <v>156651</v>
      </c>
      <c r="C422" t="s">
        <v>931</v>
      </c>
      <c r="D422">
        <v>712831351149</v>
      </c>
      <c r="E422" t="s">
        <v>64</v>
      </c>
      <c r="F422" t="s">
        <v>83</v>
      </c>
      <c r="G422" t="s">
        <v>84</v>
      </c>
      <c r="H422" t="s">
        <v>31</v>
      </c>
      <c r="I422" t="s">
        <v>48</v>
      </c>
      <c r="J422">
        <v>211790.53</v>
      </c>
      <c r="K422" t="s">
        <v>98</v>
      </c>
      <c r="L422" s="10">
        <v>45205</v>
      </c>
      <c r="M422" t="s">
        <v>24</v>
      </c>
      <c r="N422">
        <v>2062458.03</v>
      </c>
      <c r="O422" t="s">
        <v>25</v>
      </c>
      <c r="P422" s="10">
        <v>45200</v>
      </c>
      <c r="Q422">
        <v>211790.53</v>
      </c>
      <c r="R422">
        <v>0</v>
      </c>
      <c r="S422" t="s">
        <v>1098</v>
      </c>
      <c r="T422" t="s">
        <v>1095</v>
      </c>
    </row>
    <row r="423" spans="1:20" x14ac:dyDescent="0.3">
      <c r="A423" t="s">
        <v>932</v>
      </c>
      <c r="B423">
        <v>223991</v>
      </c>
      <c r="C423" t="s">
        <v>933</v>
      </c>
      <c r="D423">
        <v>925585552693</v>
      </c>
      <c r="E423" t="s">
        <v>18</v>
      </c>
      <c r="F423" t="s">
        <v>56</v>
      </c>
      <c r="G423" t="s">
        <v>57</v>
      </c>
      <c r="H423" t="s">
        <v>21</v>
      </c>
      <c r="I423" t="s">
        <v>22</v>
      </c>
      <c r="J423">
        <v>419123.96</v>
      </c>
      <c r="K423" t="s">
        <v>98</v>
      </c>
      <c r="L423" s="10">
        <v>45753</v>
      </c>
      <c r="M423" t="s">
        <v>24</v>
      </c>
      <c r="N423">
        <v>718722.06</v>
      </c>
      <c r="O423" t="s">
        <v>25</v>
      </c>
      <c r="P423" s="10">
        <v>45748</v>
      </c>
      <c r="Q423">
        <v>419123.96</v>
      </c>
      <c r="R423">
        <v>0</v>
      </c>
      <c r="S423" t="s">
        <v>1098</v>
      </c>
      <c r="T423" t="s">
        <v>1095</v>
      </c>
    </row>
    <row r="424" spans="1:20" x14ac:dyDescent="0.3">
      <c r="A424" t="s">
        <v>934</v>
      </c>
      <c r="B424">
        <v>381958</v>
      </c>
      <c r="C424" t="s">
        <v>935</v>
      </c>
      <c r="D424">
        <v>503095894291</v>
      </c>
      <c r="E424" t="s">
        <v>64</v>
      </c>
      <c r="F424" t="s">
        <v>83</v>
      </c>
      <c r="G424" t="s">
        <v>84</v>
      </c>
      <c r="H424" t="s">
        <v>31</v>
      </c>
      <c r="I424" t="s">
        <v>48</v>
      </c>
      <c r="J424">
        <v>221952.99</v>
      </c>
      <c r="K424" t="s">
        <v>49</v>
      </c>
      <c r="L424" s="10">
        <v>45489</v>
      </c>
      <c r="M424" t="s">
        <v>24</v>
      </c>
      <c r="N424">
        <v>830174.30999999994</v>
      </c>
      <c r="O424" t="s">
        <v>25</v>
      </c>
      <c r="P424" s="10">
        <v>45474</v>
      </c>
      <c r="Q424">
        <v>221952.99</v>
      </c>
      <c r="R424">
        <v>0</v>
      </c>
      <c r="S424" t="s">
        <v>1098</v>
      </c>
      <c r="T424" t="s">
        <v>1095</v>
      </c>
    </row>
    <row r="425" spans="1:20" x14ac:dyDescent="0.3">
      <c r="A425" t="s">
        <v>936</v>
      </c>
      <c r="B425">
        <v>888870</v>
      </c>
      <c r="C425" t="s">
        <v>937</v>
      </c>
      <c r="D425">
        <v>455614151118</v>
      </c>
      <c r="E425" t="s">
        <v>91</v>
      </c>
      <c r="F425" t="s">
        <v>109</v>
      </c>
      <c r="G425" t="s">
        <v>110</v>
      </c>
      <c r="H425" t="s">
        <v>70</v>
      </c>
      <c r="I425" t="s">
        <v>22</v>
      </c>
      <c r="J425">
        <v>174567.42</v>
      </c>
      <c r="K425" t="s">
        <v>49</v>
      </c>
      <c r="L425" s="10">
        <v>45528</v>
      </c>
      <c r="M425" t="s">
        <v>24</v>
      </c>
      <c r="N425">
        <v>1043689.06</v>
      </c>
      <c r="O425" t="s">
        <v>25</v>
      </c>
      <c r="P425" s="10">
        <v>45505</v>
      </c>
      <c r="Q425">
        <v>174567.42</v>
      </c>
      <c r="R425">
        <v>0</v>
      </c>
      <c r="S425" t="s">
        <v>1098</v>
      </c>
      <c r="T425" t="s">
        <v>1095</v>
      </c>
    </row>
    <row r="426" spans="1:20" x14ac:dyDescent="0.3">
      <c r="A426" t="s">
        <v>938</v>
      </c>
      <c r="B426">
        <v>194074</v>
      </c>
      <c r="C426" t="s">
        <v>939</v>
      </c>
      <c r="D426">
        <v>370100981708</v>
      </c>
      <c r="E426" t="s">
        <v>18</v>
      </c>
      <c r="F426" t="s">
        <v>56</v>
      </c>
      <c r="G426" t="s">
        <v>57</v>
      </c>
      <c r="H426" t="s">
        <v>31</v>
      </c>
      <c r="I426" t="s">
        <v>38</v>
      </c>
      <c r="J426">
        <v>34180.81</v>
      </c>
      <c r="K426" t="s">
        <v>98</v>
      </c>
      <c r="L426" s="10">
        <v>45229</v>
      </c>
      <c r="M426" t="s">
        <v>24</v>
      </c>
      <c r="N426">
        <v>821912.01</v>
      </c>
      <c r="O426" t="s">
        <v>25</v>
      </c>
      <c r="P426" s="10">
        <v>45200</v>
      </c>
      <c r="Q426">
        <v>-34180.81</v>
      </c>
      <c r="R426">
        <v>0</v>
      </c>
      <c r="S426" t="s">
        <v>1098</v>
      </c>
      <c r="T426" t="s">
        <v>1095</v>
      </c>
    </row>
    <row r="427" spans="1:20" x14ac:dyDescent="0.3">
      <c r="A427" t="s">
        <v>940</v>
      </c>
      <c r="B427">
        <v>870636</v>
      </c>
      <c r="C427" t="s">
        <v>941</v>
      </c>
      <c r="D427">
        <v>265725559669</v>
      </c>
      <c r="E427" t="s">
        <v>35</v>
      </c>
      <c r="F427" t="s">
        <v>42</v>
      </c>
      <c r="G427" t="s">
        <v>43</v>
      </c>
      <c r="H427" t="s">
        <v>70</v>
      </c>
      <c r="I427" t="s">
        <v>22</v>
      </c>
      <c r="J427">
        <v>204879.07</v>
      </c>
      <c r="K427" t="s">
        <v>98</v>
      </c>
      <c r="L427" s="10">
        <v>45340</v>
      </c>
      <c r="M427" t="s">
        <v>24</v>
      </c>
      <c r="N427">
        <v>1860252.84</v>
      </c>
      <c r="O427" t="s">
        <v>25</v>
      </c>
      <c r="P427" s="10">
        <v>45323</v>
      </c>
      <c r="Q427">
        <v>204879.07</v>
      </c>
      <c r="R427">
        <v>0</v>
      </c>
      <c r="S427" t="s">
        <v>1098</v>
      </c>
      <c r="T427" t="s">
        <v>1095</v>
      </c>
    </row>
    <row r="428" spans="1:20" x14ac:dyDescent="0.3">
      <c r="A428" t="s">
        <v>942</v>
      </c>
      <c r="B428">
        <v>417871</v>
      </c>
      <c r="C428" t="s">
        <v>943</v>
      </c>
      <c r="D428">
        <v>340570703401</v>
      </c>
      <c r="E428" t="s">
        <v>18</v>
      </c>
      <c r="F428" t="s">
        <v>156</v>
      </c>
      <c r="G428" t="s">
        <v>157</v>
      </c>
      <c r="H428" t="s">
        <v>67</v>
      </c>
      <c r="I428" t="s">
        <v>53</v>
      </c>
      <c r="J428">
        <v>126048.15</v>
      </c>
      <c r="K428" t="s">
        <v>32</v>
      </c>
      <c r="L428" s="10">
        <v>45278</v>
      </c>
      <c r="M428" t="s">
        <v>24</v>
      </c>
      <c r="N428">
        <v>305126.23</v>
      </c>
      <c r="O428" t="s">
        <v>25</v>
      </c>
      <c r="P428" s="10">
        <v>45261</v>
      </c>
      <c r="Q428">
        <v>126048.15</v>
      </c>
      <c r="R428">
        <v>0</v>
      </c>
      <c r="S428" t="s">
        <v>1098</v>
      </c>
      <c r="T428" t="s">
        <v>1095</v>
      </c>
    </row>
    <row r="429" spans="1:20" x14ac:dyDescent="0.3">
      <c r="A429" t="s">
        <v>944</v>
      </c>
      <c r="B429">
        <v>514407</v>
      </c>
      <c r="C429" t="s">
        <v>945</v>
      </c>
      <c r="D429">
        <v>675036663044</v>
      </c>
      <c r="E429" t="s">
        <v>91</v>
      </c>
      <c r="F429" t="s">
        <v>130</v>
      </c>
      <c r="G429" t="s">
        <v>131</v>
      </c>
      <c r="H429" t="s">
        <v>70</v>
      </c>
      <c r="I429" t="s">
        <v>48</v>
      </c>
      <c r="J429">
        <v>94591.93</v>
      </c>
      <c r="K429" t="s">
        <v>39</v>
      </c>
      <c r="L429" s="10">
        <v>45496</v>
      </c>
      <c r="M429" t="s">
        <v>24</v>
      </c>
      <c r="N429">
        <v>1580999.81</v>
      </c>
      <c r="O429" t="s">
        <v>25</v>
      </c>
      <c r="P429" s="10">
        <v>45474</v>
      </c>
      <c r="Q429">
        <v>94591.93</v>
      </c>
      <c r="R429">
        <v>0</v>
      </c>
      <c r="S429" t="s">
        <v>1098</v>
      </c>
      <c r="T429" t="s">
        <v>1095</v>
      </c>
    </row>
    <row r="430" spans="1:20" x14ac:dyDescent="0.3">
      <c r="A430" t="s">
        <v>946</v>
      </c>
      <c r="B430">
        <v>356658</v>
      </c>
      <c r="C430" t="s">
        <v>947</v>
      </c>
      <c r="D430">
        <v>605418878157</v>
      </c>
      <c r="E430" t="s">
        <v>91</v>
      </c>
      <c r="F430" t="s">
        <v>105</v>
      </c>
      <c r="G430" t="s">
        <v>106</v>
      </c>
      <c r="H430" t="s">
        <v>70</v>
      </c>
      <c r="I430" t="s">
        <v>22</v>
      </c>
      <c r="J430">
        <v>40155.279999999999</v>
      </c>
      <c r="K430" t="s">
        <v>32</v>
      </c>
      <c r="L430" s="10">
        <v>45204</v>
      </c>
      <c r="M430" t="s">
        <v>24</v>
      </c>
      <c r="N430">
        <v>527727.55000000005</v>
      </c>
      <c r="O430" t="s">
        <v>25</v>
      </c>
      <c r="P430" s="10">
        <v>45200</v>
      </c>
      <c r="Q430">
        <v>40155.279999999999</v>
      </c>
      <c r="R430">
        <v>0</v>
      </c>
      <c r="S430" t="s">
        <v>1098</v>
      </c>
      <c r="T430" t="s">
        <v>1095</v>
      </c>
    </row>
    <row r="431" spans="1:20" x14ac:dyDescent="0.3">
      <c r="A431" t="s">
        <v>948</v>
      </c>
      <c r="B431">
        <v>256689</v>
      </c>
      <c r="C431" t="s">
        <v>949</v>
      </c>
      <c r="D431">
        <v>597626604290</v>
      </c>
      <c r="E431" t="s">
        <v>18</v>
      </c>
      <c r="F431" t="s">
        <v>87</v>
      </c>
      <c r="G431" t="s">
        <v>88</v>
      </c>
      <c r="H431" t="s">
        <v>67</v>
      </c>
      <c r="I431" t="s">
        <v>22</v>
      </c>
      <c r="J431">
        <v>269846.56</v>
      </c>
      <c r="K431" t="s">
        <v>32</v>
      </c>
      <c r="L431" s="10">
        <v>45168</v>
      </c>
      <c r="M431" t="s">
        <v>24</v>
      </c>
      <c r="N431">
        <v>1057833.83</v>
      </c>
      <c r="O431" t="s">
        <v>25</v>
      </c>
      <c r="P431" s="10">
        <v>45139</v>
      </c>
      <c r="Q431">
        <v>269846.56</v>
      </c>
      <c r="R431">
        <v>0</v>
      </c>
      <c r="S431" t="s">
        <v>1098</v>
      </c>
      <c r="T431" t="s">
        <v>1095</v>
      </c>
    </row>
    <row r="432" spans="1:20" x14ac:dyDescent="0.3">
      <c r="A432" t="s">
        <v>950</v>
      </c>
      <c r="B432">
        <v>172968</v>
      </c>
      <c r="C432" t="s">
        <v>951</v>
      </c>
      <c r="D432">
        <v>223152974785</v>
      </c>
      <c r="E432" t="s">
        <v>91</v>
      </c>
      <c r="F432" t="s">
        <v>92</v>
      </c>
      <c r="G432" t="s">
        <v>93</v>
      </c>
      <c r="H432" t="s">
        <v>31</v>
      </c>
      <c r="I432" t="s">
        <v>48</v>
      </c>
      <c r="J432">
        <v>6453.41</v>
      </c>
      <c r="K432" t="s">
        <v>98</v>
      </c>
      <c r="L432" s="10">
        <v>45549</v>
      </c>
      <c r="M432" t="s">
        <v>24</v>
      </c>
      <c r="N432">
        <v>1260667.3500000001</v>
      </c>
      <c r="O432" t="s">
        <v>25</v>
      </c>
      <c r="P432" s="10">
        <v>45536</v>
      </c>
      <c r="Q432">
        <v>6453.41</v>
      </c>
      <c r="R432">
        <v>0</v>
      </c>
      <c r="S432" t="s">
        <v>1098</v>
      </c>
      <c r="T432" t="s">
        <v>1095</v>
      </c>
    </row>
    <row r="433" spans="1:20" x14ac:dyDescent="0.3">
      <c r="A433" t="s">
        <v>952</v>
      </c>
      <c r="B433">
        <v>473572</v>
      </c>
      <c r="C433" t="s">
        <v>953</v>
      </c>
      <c r="D433">
        <v>862059035512</v>
      </c>
      <c r="E433" t="s">
        <v>35</v>
      </c>
      <c r="F433" t="s">
        <v>60</v>
      </c>
      <c r="G433" t="s">
        <v>61</v>
      </c>
      <c r="H433" t="s">
        <v>67</v>
      </c>
      <c r="I433" t="s">
        <v>22</v>
      </c>
      <c r="J433">
        <v>378135.91</v>
      </c>
      <c r="K433" t="s">
        <v>39</v>
      </c>
      <c r="L433" s="10">
        <v>45630</v>
      </c>
      <c r="M433" t="s">
        <v>24</v>
      </c>
      <c r="N433">
        <v>460516.67</v>
      </c>
      <c r="O433" t="s">
        <v>25</v>
      </c>
      <c r="P433" s="10">
        <v>45627</v>
      </c>
      <c r="Q433">
        <v>378135.91</v>
      </c>
      <c r="R433">
        <v>0</v>
      </c>
      <c r="S433" t="s">
        <v>1098</v>
      </c>
      <c r="T433" t="s">
        <v>1095</v>
      </c>
    </row>
    <row r="434" spans="1:20" x14ac:dyDescent="0.3">
      <c r="A434" t="s">
        <v>954</v>
      </c>
      <c r="B434">
        <v>727196</v>
      </c>
      <c r="C434" t="s">
        <v>955</v>
      </c>
      <c r="D434">
        <v>213803806556</v>
      </c>
      <c r="E434" t="s">
        <v>18</v>
      </c>
      <c r="F434" t="s">
        <v>156</v>
      </c>
      <c r="G434" t="s">
        <v>157</v>
      </c>
      <c r="H434" t="s">
        <v>21</v>
      </c>
      <c r="I434" t="s">
        <v>48</v>
      </c>
      <c r="J434">
        <v>162015.07</v>
      </c>
      <c r="K434" t="s">
        <v>39</v>
      </c>
      <c r="L434" s="10">
        <v>45289</v>
      </c>
      <c r="M434" t="s">
        <v>113</v>
      </c>
      <c r="N434">
        <v>2062704.01</v>
      </c>
      <c r="O434" t="s">
        <v>25</v>
      </c>
      <c r="P434" s="10">
        <v>45261</v>
      </c>
      <c r="Q434">
        <v>162015.07</v>
      </c>
      <c r="R434">
        <v>0</v>
      </c>
      <c r="S434" t="s">
        <v>1098</v>
      </c>
      <c r="T434" t="s">
        <v>1095</v>
      </c>
    </row>
    <row r="435" spans="1:20" x14ac:dyDescent="0.3">
      <c r="A435" t="s">
        <v>956</v>
      </c>
      <c r="B435">
        <v>310437</v>
      </c>
      <c r="C435" t="s">
        <v>957</v>
      </c>
      <c r="D435">
        <v>619311161355</v>
      </c>
      <c r="E435" t="s">
        <v>28</v>
      </c>
      <c r="F435" t="s">
        <v>192</v>
      </c>
      <c r="G435" t="s">
        <v>193</v>
      </c>
      <c r="H435" t="s">
        <v>21</v>
      </c>
      <c r="I435" t="s">
        <v>48</v>
      </c>
      <c r="J435">
        <v>86822.48</v>
      </c>
      <c r="K435" t="s">
        <v>32</v>
      </c>
      <c r="L435" s="10">
        <v>45711</v>
      </c>
      <c r="M435" t="s">
        <v>24</v>
      </c>
      <c r="N435">
        <v>1212113.4099999999</v>
      </c>
      <c r="O435" t="s">
        <v>25</v>
      </c>
      <c r="P435" s="10">
        <v>45689</v>
      </c>
      <c r="Q435">
        <v>86822.48</v>
      </c>
      <c r="R435">
        <v>0</v>
      </c>
      <c r="S435" t="s">
        <v>1098</v>
      </c>
      <c r="T435" t="s">
        <v>1095</v>
      </c>
    </row>
    <row r="436" spans="1:20" x14ac:dyDescent="0.3">
      <c r="A436" t="s">
        <v>958</v>
      </c>
      <c r="B436">
        <v>446826</v>
      </c>
      <c r="C436" t="s">
        <v>959</v>
      </c>
      <c r="D436">
        <v>369238077065</v>
      </c>
      <c r="E436" t="s">
        <v>18</v>
      </c>
      <c r="F436" t="s">
        <v>156</v>
      </c>
      <c r="G436" t="s">
        <v>157</v>
      </c>
      <c r="H436" t="s">
        <v>31</v>
      </c>
      <c r="I436" t="s">
        <v>38</v>
      </c>
      <c r="J436">
        <v>27058.35</v>
      </c>
      <c r="K436" t="s">
        <v>98</v>
      </c>
      <c r="L436" s="10">
        <v>45345</v>
      </c>
      <c r="M436" t="s">
        <v>24</v>
      </c>
      <c r="N436">
        <v>233863.72</v>
      </c>
      <c r="O436" t="s">
        <v>25</v>
      </c>
      <c r="P436" s="10">
        <v>45323</v>
      </c>
      <c r="Q436">
        <v>-27058.35</v>
      </c>
      <c r="R436">
        <v>0</v>
      </c>
      <c r="S436" t="s">
        <v>1098</v>
      </c>
      <c r="T436" t="s">
        <v>1095</v>
      </c>
    </row>
    <row r="437" spans="1:20" x14ac:dyDescent="0.3">
      <c r="A437" t="s">
        <v>960</v>
      </c>
      <c r="B437">
        <v>330179</v>
      </c>
      <c r="C437" t="s">
        <v>961</v>
      </c>
      <c r="D437">
        <v>507751770849</v>
      </c>
      <c r="E437" t="s">
        <v>35</v>
      </c>
      <c r="F437" t="s">
        <v>60</v>
      </c>
      <c r="G437" t="s">
        <v>61</v>
      </c>
      <c r="H437" t="s">
        <v>70</v>
      </c>
      <c r="I437" t="s">
        <v>38</v>
      </c>
      <c r="J437">
        <v>86561.53</v>
      </c>
      <c r="K437" t="s">
        <v>32</v>
      </c>
      <c r="L437" s="10">
        <v>45279</v>
      </c>
      <c r="M437" t="s">
        <v>24</v>
      </c>
      <c r="N437">
        <v>1697759.69</v>
      </c>
      <c r="O437" t="s">
        <v>25</v>
      </c>
      <c r="P437" s="10">
        <v>45261</v>
      </c>
      <c r="Q437">
        <v>-86561.53</v>
      </c>
      <c r="R437">
        <v>0</v>
      </c>
      <c r="S437" t="s">
        <v>1098</v>
      </c>
      <c r="T437" t="s">
        <v>1095</v>
      </c>
    </row>
    <row r="438" spans="1:20" x14ac:dyDescent="0.3">
      <c r="A438" t="s">
        <v>962</v>
      </c>
      <c r="B438">
        <v>129665</v>
      </c>
      <c r="C438" t="s">
        <v>963</v>
      </c>
      <c r="D438">
        <v>685732683411</v>
      </c>
      <c r="E438" t="s">
        <v>91</v>
      </c>
      <c r="F438" t="s">
        <v>109</v>
      </c>
      <c r="G438" t="s">
        <v>110</v>
      </c>
      <c r="H438" t="s">
        <v>70</v>
      </c>
      <c r="I438" t="s">
        <v>38</v>
      </c>
      <c r="J438">
        <v>110972.64</v>
      </c>
      <c r="K438" t="s">
        <v>49</v>
      </c>
      <c r="L438" s="10">
        <v>45259</v>
      </c>
      <c r="M438" t="s">
        <v>24</v>
      </c>
      <c r="N438">
        <v>1801082.85</v>
      </c>
      <c r="O438" t="s">
        <v>25</v>
      </c>
      <c r="P438" s="10">
        <v>45231</v>
      </c>
      <c r="Q438">
        <v>-110972.64</v>
      </c>
      <c r="R438">
        <v>0</v>
      </c>
      <c r="S438" t="s">
        <v>1098</v>
      </c>
      <c r="T438" t="s">
        <v>1095</v>
      </c>
    </row>
    <row r="439" spans="1:20" x14ac:dyDescent="0.3">
      <c r="A439" t="s">
        <v>964</v>
      </c>
      <c r="B439">
        <v>366999</v>
      </c>
      <c r="C439" t="s">
        <v>965</v>
      </c>
      <c r="D439">
        <v>105097624705</v>
      </c>
      <c r="E439" t="s">
        <v>18</v>
      </c>
      <c r="F439" t="s">
        <v>156</v>
      </c>
      <c r="G439" t="s">
        <v>157</v>
      </c>
      <c r="H439" t="s">
        <v>31</v>
      </c>
      <c r="I439" t="s">
        <v>48</v>
      </c>
      <c r="J439">
        <v>6574.26</v>
      </c>
      <c r="K439" t="s">
        <v>98</v>
      </c>
      <c r="L439" s="10">
        <v>45559</v>
      </c>
      <c r="M439" t="s">
        <v>24</v>
      </c>
      <c r="N439">
        <v>592520.64</v>
      </c>
      <c r="O439" t="s">
        <v>25</v>
      </c>
      <c r="P439" s="10">
        <v>45536</v>
      </c>
      <c r="Q439">
        <v>6574.26</v>
      </c>
      <c r="R439">
        <v>0</v>
      </c>
      <c r="S439" t="s">
        <v>1098</v>
      </c>
      <c r="T439" t="s">
        <v>1095</v>
      </c>
    </row>
    <row r="440" spans="1:20" x14ac:dyDescent="0.3">
      <c r="A440" t="s">
        <v>966</v>
      </c>
      <c r="B440">
        <v>552388</v>
      </c>
      <c r="C440" t="s">
        <v>967</v>
      </c>
      <c r="D440">
        <v>453842146842</v>
      </c>
      <c r="E440" t="s">
        <v>18</v>
      </c>
      <c r="F440" t="s">
        <v>19</v>
      </c>
      <c r="G440" t="s">
        <v>20</v>
      </c>
      <c r="H440" t="s">
        <v>70</v>
      </c>
      <c r="I440" t="s">
        <v>53</v>
      </c>
      <c r="J440">
        <v>195381.64</v>
      </c>
      <c r="K440" t="s">
        <v>49</v>
      </c>
      <c r="L440" s="10">
        <v>45478</v>
      </c>
      <c r="M440" t="s">
        <v>24</v>
      </c>
      <c r="N440">
        <v>1149629.3799999999</v>
      </c>
      <c r="O440" t="s">
        <v>25</v>
      </c>
      <c r="P440" s="10">
        <v>45474</v>
      </c>
      <c r="Q440">
        <v>195381.64</v>
      </c>
      <c r="R440">
        <v>0</v>
      </c>
      <c r="S440" t="s">
        <v>1098</v>
      </c>
      <c r="T440" t="s">
        <v>1095</v>
      </c>
    </row>
    <row r="441" spans="1:20" x14ac:dyDescent="0.3">
      <c r="A441" t="s">
        <v>968</v>
      </c>
      <c r="B441">
        <v>523936</v>
      </c>
      <c r="C441" t="s">
        <v>969</v>
      </c>
      <c r="D441">
        <v>145261144154</v>
      </c>
      <c r="E441" t="s">
        <v>91</v>
      </c>
      <c r="F441" t="s">
        <v>92</v>
      </c>
      <c r="G441" t="s">
        <v>93</v>
      </c>
      <c r="H441" t="s">
        <v>70</v>
      </c>
      <c r="I441" t="s">
        <v>48</v>
      </c>
      <c r="J441">
        <v>34140.730000000003</v>
      </c>
      <c r="K441" t="s">
        <v>49</v>
      </c>
      <c r="L441" s="10">
        <v>45288</v>
      </c>
      <c r="M441" t="s">
        <v>168</v>
      </c>
      <c r="N441">
        <v>1510625.24</v>
      </c>
      <c r="O441" t="s">
        <v>25</v>
      </c>
      <c r="P441" s="10">
        <v>45261</v>
      </c>
      <c r="Q441">
        <v>34140.730000000003</v>
      </c>
      <c r="R441">
        <v>0</v>
      </c>
      <c r="S441" t="s">
        <v>1098</v>
      </c>
      <c r="T441" t="s">
        <v>1095</v>
      </c>
    </row>
    <row r="442" spans="1:20" x14ac:dyDescent="0.3">
      <c r="A442" t="s">
        <v>970</v>
      </c>
      <c r="B442">
        <v>454612</v>
      </c>
      <c r="C442" t="s">
        <v>971</v>
      </c>
      <c r="D442">
        <v>305188756174</v>
      </c>
      <c r="E442" t="s">
        <v>91</v>
      </c>
      <c r="F442" t="s">
        <v>162</v>
      </c>
      <c r="G442" t="s">
        <v>163</v>
      </c>
      <c r="H442" t="s">
        <v>21</v>
      </c>
      <c r="I442" t="s">
        <v>53</v>
      </c>
      <c r="J442">
        <v>413815.24</v>
      </c>
      <c r="K442" t="s">
        <v>98</v>
      </c>
      <c r="L442" s="10">
        <v>45403</v>
      </c>
      <c r="M442" t="s">
        <v>168</v>
      </c>
      <c r="N442">
        <v>1653549.79</v>
      </c>
      <c r="O442" t="s">
        <v>25</v>
      </c>
      <c r="P442" s="10">
        <v>45383</v>
      </c>
      <c r="Q442">
        <v>413815.24</v>
      </c>
      <c r="R442">
        <v>0</v>
      </c>
      <c r="S442" t="s">
        <v>1098</v>
      </c>
      <c r="T442" t="s">
        <v>1095</v>
      </c>
    </row>
    <row r="443" spans="1:20" x14ac:dyDescent="0.3">
      <c r="A443" t="s">
        <v>972</v>
      </c>
      <c r="B443">
        <v>222331</v>
      </c>
      <c r="C443" t="s">
        <v>973</v>
      </c>
      <c r="D443">
        <v>732483075544</v>
      </c>
      <c r="E443" t="s">
        <v>28</v>
      </c>
      <c r="F443" t="s">
        <v>79</v>
      </c>
      <c r="G443" t="s">
        <v>80</v>
      </c>
      <c r="H443" t="s">
        <v>67</v>
      </c>
      <c r="I443" t="s">
        <v>22</v>
      </c>
      <c r="J443">
        <v>498951.58</v>
      </c>
      <c r="K443" t="s">
        <v>39</v>
      </c>
      <c r="L443" s="10">
        <v>45304</v>
      </c>
      <c r="M443" t="s">
        <v>24</v>
      </c>
      <c r="N443">
        <v>1249983.6100000001</v>
      </c>
      <c r="O443" t="s">
        <v>25</v>
      </c>
      <c r="P443" s="10">
        <v>45292</v>
      </c>
      <c r="Q443">
        <v>498951.58</v>
      </c>
      <c r="R443">
        <v>0</v>
      </c>
      <c r="S443" t="s">
        <v>1098</v>
      </c>
      <c r="T443" t="s">
        <v>1095</v>
      </c>
    </row>
    <row r="444" spans="1:20" x14ac:dyDescent="0.3">
      <c r="A444" t="s">
        <v>974</v>
      </c>
      <c r="B444">
        <v>457761</v>
      </c>
      <c r="C444" t="s">
        <v>975</v>
      </c>
      <c r="D444">
        <v>630313159087</v>
      </c>
      <c r="E444" t="s">
        <v>35</v>
      </c>
      <c r="F444" t="s">
        <v>73</v>
      </c>
      <c r="G444" t="s">
        <v>74</v>
      </c>
      <c r="H444" t="s">
        <v>70</v>
      </c>
      <c r="I444" t="s">
        <v>22</v>
      </c>
      <c r="J444">
        <v>500321.81</v>
      </c>
      <c r="K444" t="s">
        <v>49</v>
      </c>
      <c r="L444" s="10">
        <v>45612</v>
      </c>
      <c r="M444" t="s">
        <v>24</v>
      </c>
      <c r="N444">
        <v>1182670.67</v>
      </c>
      <c r="O444" t="s">
        <v>25</v>
      </c>
      <c r="P444" s="10">
        <v>45597</v>
      </c>
      <c r="Q444">
        <v>500321.81</v>
      </c>
      <c r="R444">
        <v>0</v>
      </c>
      <c r="S444" t="s">
        <v>1098</v>
      </c>
      <c r="T444" t="s">
        <v>1095</v>
      </c>
    </row>
    <row r="445" spans="1:20" x14ac:dyDescent="0.3">
      <c r="A445" t="s">
        <v>976</v>
      </c>
      <c r="B445">
        <v>784041</v>
      </c>
      <c r="C445" t="s">
        <v>977</v>
      </c>
      <c r="D445">
        <v>233652635234</v>
      </c>
      <c r="E445" t="s">
        <v>64</v>
      </c>
      <c r="F445" t="s">
        <v>166</v>
      </c>
      <c r="G445" t="s">
        <v>167</v>
      </c>
      <c r="H445" t="s">
        <v>21</v>
      </c>
      <c r="I445" t="s">
        <v>48</v>
      </c>
      <c r="J445">
        <v>233950.21</v>
      </c>
      <c r="K445" t="s">
        <v>39</v>
      </c>
      <c r="L445" s="10">
        <v>45764</v>
      </c>
      <c r="M445" t="s">
        <v>24</v>
      </c>
      <c r="N445">
        <v>1262558.1000000001</v>
      </c>
      <c r="O445" t="s">
        <v>25</v>
      </c>
      <c r="P445" s="10">
        <v>45748</v>
      </c>
      <c r="Q445">
        <v>233950.21</v>
      </c>
      <c r="R445">
        <v>0</v>
      </c>
      <c r="S445" t="s">
        <v>1098</v>
      </c>
      <c r="T445" t="s">
        <v>1095</v>
      </c>
    </row>
    <row r="446" spans="1:20" x14ac:dyDescent="0.3">
      <c r="A446" t="s">
        <v>978</v>
      </c>
      <c r="B446">
        <v>130029</v>
      </c>
      <c r="C446" t="s">
        <v>979</v>
      </c>
      <c r="D446">
        <v>649264358079</v>
      </c>
      <c r="E446" t="s">
        <v>35</v>
      </c>
      <c r="F446" t="s">
        <v>136</v>
      </c>
      <c r="G446" t="s">
        <v>137</v>
      </c>
      <c r="H446" t="s">
        <v>21</v>
      </c>
      <c r="I446" t="s">
        <v>48</v>
      </c>
      <c r="J446">
        <v>290578.13</v>
      </c>
      <c r="K446" t="s">
        <v>23</v>
      </c>
      <c r="L446" s="10">
        <v>45400</v>
      </c>
      <c r="M446" t="s">
        <v>24</v>
      </c>
      <c r="N446">
        <v>678673.67999999993</v>
      </c>
      <c r="O446" t="s">
        <v>25</v>
      </c>
      <c r="P446" s="10">
        <v>45383</v>
      </c>
      <c r="Q446">
        <v>290578.13</v>
      </c>
      <c r="R446">
        <v>0</v>
      </c>
      <c r="S446" t="s">
        <v>1097</v>
      </c>
      <c r="T446" t="s">
        <v>1095</v>
      </c>
    </row>
    <row r="447" spans="1:20" x14ac:dyDescent="0.3">
      <c r="A447" t="s">
        <v>980</v>
      </c>
      <c r="B447">
        <v>806467</v>
      </c>
      <c r="C447" t="s">
        <v>981</v>
      </c>
      <c r="D447">
        <v>781500218179</v>
      </c>
      <c r="E447" t="s">
        <v>64</v>
      </c>
      <c r="F447" t="s">
        <v>65</v>
      </c>
      <c r="G447" t="s">
        <v>66</v>
      </c>
      <c r="H447" t="s">
        <v>67</v>
      </c>
      <c r="I447" t="s">
        <v>48</v>
      </c>
      <c r="J447">
        <v>106758.52</v>
      </c>
      <c r="K447" t="s">
        <v>39</v>
      </c>
      <c r="L447" s="10">
        <v>45207</v>
      </c>
      <c r="M447" t="s">
        <v>168</v>
      </c>
      <c r="N447">
        <v>296937.62</v>
      </c>
      <c r="O447" t="s">
        <v>25</v>
      </c>
      <c r="P447" s="10">
        <v>45200</v>
      </c>
      <c r="Q447">
        <v>106758.52</v>
      </c>
      <c r="R447">
        <v>0</v>
      </c>
      <c r="S447" t="s">
        <v>1098</v>
      </c>
      <c r="T447" t="s">
        <v>1095</v>
      </c>
    </row>
    <row r="448" spans="1:20" x14ac:dyDescent="0.3">
      <c r="A448" t="s">
        <v>982</v>
      </c>
      <c r="B448">
        <v>908804</v>
      </c>
      <c r="C448" t="s">
        <v>983</v>
      </c>
      <c r="D448">
        <v>475332694595</v>
      </c>
      <c r="E448" t="s">
        <v>91</v>
      </c>
      <c r="F448" t="s">
        <v>130</v>
      </c>
      <c r="G448" t="s">
        <v>131</v>
      </c>
      <c r="H448" t="s">
        <v>31</v>
      </c>
      <c r="I448" t="s">
        <v>53</v>
      </c>
      <c r="J448">
        <v>55162.87</v>
      </c>
      <c r="K448" t="s">
        <v>98</v>
      </c>
      <c r="L448" s="10">
        <v>45258</v>
      </c>
      <c r="M448" t="s">
        <v>24</v>
      </c>
      <c r="N448">
        <v>951673.05999999994</v>
      </c>
      <c r="O448" t="s">
        <v>25</v>
      </c>
      <c r="P448" s="10">
        <v>45231</v>
      </c>
      <c r="Q448">
        <v>55162.87</v>
      </c>
      <c r="R448">
        <v>0</v>
      </c>
      <c r="S448" t="s">
        <v>1098</v>
      </c>
      <c r="T448" t="s">
        <v>1095</v>
      </c>
    </row>
    <row r="449" spans="1:20" x14ac:dyDescent="0.3">
      <c r="A449" t="s">
        <v>984</v>
      </c>
      <c r="B449">
        <v>578684</v>
      </c>
      <c r="C449" t="s">
        <v>985</v>
      </c>
      <c r="D449">
        <v>726753454826</v>
      </c>
      <c r="E449" t="s">
        <v>28</v>
      </c>
      <c r="F449" t="s">
        <v>192</v>
      </c>
      <c r="G449" t="s">
        <v>193</v>
      </c>
      <c r="H449" t="s">
        <v>70</v>
      </c>
      <c r="I449" t="s">
        <v>38</v>
      </c>
      <c r="J449">
        <v>145964.88</v>
      </c>
      <c r="K449" t="s">
        <v>32</v>
      </c>
      <c r="L449" s="10">
        <v>45534</v>
      </c>
      <c r="M449" t="s">
        <v>24</v>
      </c>
      <c r="N449">
        <v>176477.34</v>
      </c>
      <c r="O449" t="s">
        <v>25</v>
      </c>
      <c r="P449" s="10">
        <v>45505</v>
      </c>
      <c r="Q449">
        <v>-145964.88</v>
      </c>
      <c r="R449">
        <v>0</v>
      </c>
      <c r="S449" t="s">
        <v>1098</v>
      </c>
      <c r="T449" t="s">
        <v>1095</v>
      </c>
    </row>
    <row r="450" spans="1:20" x14ac:dyDescent="0.3">
      <c r="A450" t="s">
        <v>986</v>
      </c>
      <c r="B450">
        <v>855681</v>
      </c>
      <c r="C450" t="s">
        <v>987</v>
      </c>
      <c r="D450">
        <v>190826722420</v>
      </c>
      <c r="E450" t="s">
        <v>35</v>
      </c>
      <c r="F450" t="s">
        <v>42</v>
      </c>
      <c r="G450" t="s">
        <v>43</v>
      </c>
      <c r="H450" t="s">
        <v>67</v>
      </c>
      <c r="I450" t="s">
        <v>38</v>
      </c>
      <c r="J450">
        <v>40273.629999999997</v>
      </c>
      <c r="K450" t="s">
        <v>98</v>
      </c>
      <c r="L450" s="10">
        <v>45250</v>
      </c>
      <c r="M450" t="s">
        <v>24</v>
      </c>
      <c r="N450">
        <v>1640296.82</v>
      </c>
      <c r="O450" t="s">
        <v>25</v>
      </c>
      <c r="P450" s="10">
        <v>45231</v>
      </c>
      <c r="Q450">
        <v>-40273.629999999997</v>
      </c>
      <c r="R450">
        <v>0</v>
      </c>
      <c r="S450" t="s">
        <v>1098</v>
      </c>
      <c r="T450" t="s">
        <v>1095</v>
      </c>
    </row>
    <row r="451" spans="1:20" x14ac:dyDescent="0.3">
      <c r="A451" t="s">
        <v>988</v>
      </c>
      <c r="B451">
        <v>453699</v>
      </c>
      <c r="C451" t="s">
        <v>989</v>
      </c>
      <c r="D451">
        <v>544604573240</v>
      </c>
      <c r="E451" t="s">
        <v>91</v>
      </c>
      <c r="F451" t="s">
        <v>130</v>
      </c>
      <c r="G451" t="s">
        <v>131</v>
      </c>
      <c r="H451" t="s">
        <v>31</v>
      </c>
      <c r="I451" t="s">
        <v>48</v>
      </c>
      <c r="J451">
        <v>176968.27</v>
      </c>
      <c r="K451" t="s">
        <v>23</v>
      </c>
      <c r="L451" s="10">
        <v>45669</v>
      </c>
      <c r="M451" t="s">
        <v>24</v>
      </c>
      <c r="N451">
        <v>1090544.8999999999</v>
      </c>
      <c r="O451" t="s">
        <v>25</v>
      </c>
      <c r="P451" s="10">
        <v>45658</v>
      </c>
      <c r="Q451">
        <v>176968.27</v>
      </c>
      <c r="R451">
        <v>0</v>
      </c>
      <c r="S451" t="s">
        <v>1097</v>
      </c>
      <c r="T451" t="s">
        <v>1095</v>
      </c>
    </row>
    <row r="452" spans="1:20" x14ac:dyDescent="0.3">
      <c r="A452" t="s">
        <v>990</v>
      </c>
      <c r="B452">
        <v>916141</v>
      </c>
      <c r="C452" t="s">
        <v>991</v>
      </c>
      <c r="D452">
        <v>838735243503</v>
      </c>
      <c r="E452" t="s">
        <v>28</v>
      </c>
      <c r="F452" t="s">
        <v>29</v>
      </c>
      <c r="G452" t="s">
        <v>30</v>
      </c>
      <c r="H452" t="s">
        <v>67</v>
      </c>
      <c r="I452" t="s">
        <v>38</v>
      </c>
      <c r="J452">
        <v>112350.94</v>
      </c>
      <c r="K452" t="s">
        <v>32</v>
      </c>
      <c r="L452" s="10">
        <v>45193</v>
      </c>
      <c r="M452" t="s">
        <v>24</v>
      </c>
      <c r="N452">
        <v>868277.44</v>
      </c>
      <c r="O452" t="s">
        <v>25</v>
      </c>
      <c r="P452" s="10">
        <v>45170</v>
      </c>
      <c r="Q452">
        <v>-112350.94</v>
      </c>
      <c r="R452">
        <v>0</v>
      </c>
      <c r="S452" t="s">
        <v>1098</v>
      </c>
      <c r="T452" t="s">
        <v>1095</v>
      </c>
    </row>
    <row r="453" spans="1:20" x14ac:dyDescent="0.3">
      <c r="A453" t="s">
        <v>992</v>
      </c>
      <c r="B453">
        <v>155828</v>
      </c>
      <c r="C453" t="s">
        <v>993</v>
      </c>
      <c r="D453">
        <v>139729440036</v>
      </c>
      <c r="E453" t="s">
        <v>35</v>
      </c>
      <c r="F453" t="s">
        <v>42</v>
      </c>
      <c r="G453" t="s">
        <v>43</v>
      </c>
      <c r="H453" t="s">
        <v>21</v>
      </c>
      <c r="I453" t="s">
        <v>48</v>
      </c>
      <c r="J453">
        <v>177814.59</v>
      </c>
      <c r="K453" t="s">
        <v>39</v>
      </c>
      <c r="L453" s="10">
        <v>45662</v>
      </c>
      <c r="M453" t="s">
        <v>24</v>
      </c>
      <c r="N453">
        <v>1805585.1</v>
      </c>
      <c r="O453" t="s">
        <v>25</v>
      </c>
      <c r="P453" s="10">
        <v>45658</v>
      </c>
      <c r="Q453">
        <v>177814.59</v>
      </c>
      <c r="R453">
        <v>0</v>
      </c>
      <c r="S453" t="s">
        <v>1098</v>
      </c>
      <c r="T453" t="s">
        <v>1095</v>
      </c>
    </row>
    <row r="454" spans="1:20" x14ac:dyDescent="0.3">
      <c r="A454" t="s">
        <v>994</v>
      </c>
      <c r="B454">
        <v>612319</v>
      </c>
      <c r="C454" t="s">
        <v>995</v>
      </c>
      <c r="D454">
        <v>656157267106</v>
      </c>
      <c r="E454" t="s">
        <v>28</v>
      </c>
      <c r="F454" t="s">
        <v>29</v>
      </c>
      <c r="G454" t="s">
        <v>30</v>
      </c>
      <c r="H454" t="s">
        <v>70</v>
      </c>
      <c r="I454" t="s">
        <v>22</v>
      </c>
      <c r="J454">
        <v>143983.29999999999</v>
      </c>
      <c r="K454" t="s">
        <v>39</v>
      </c>
      <c r="L454" s="10">
        <v>45666</v>
      </c>
      <c r="M454" t="s">
        <v>24</v>
      </c>
      <c r="N454">
        <v>306242.71000000002</v>
      </c>
      <c r="O454" t="s">
        <v>25</v>
      </c>
      <c r="P454" s="10">
        <v>45658</v>
      </c>
      <c r="Q454">
        <v>143983.29999999999</v>
      </c>
      <c r="R454">
        <v>0</v>
      </c>
      <c r="S454" t="s">
        <v>1098</v>
      </c>
      <c r="T454" t="s">
        <v>1095</v>
      </c>
    </row>
    <row r="455" spans="1:20" x14ac:dyDescent="0.3">
      <c r="A455" t="s">
        <v>996</v>
      </c>
      <c r="B455">
        <v>835355</v>
      </c>
      <c r="C455" t="s">
        <v>997</v>
      </c>
      <c r="D455">
        <v>536963920814</v>
      </c>
      <c r="E455" t="s">
        <v>28</v>
      </c>
      <c r="F455" t="s">
        <v>79</v>
      </c>
      <c r="G455" t="s">
        <v>80</v>
      </c>
      <c r="H455" t="s">
        <v>31</v>
      </c>
      <c r="I455" t="s">
        <v>22</v>
      </c>
      <c r="J455">
        <v>216375.47</v>
      </c>
      <c r="K455" t="s">
        <v>32</v>
      </c>
      <c r="L455" s="10">
        <v>45464</v>
      </c>
      <c r="M455" t="s">
        <v>24</v>
      </c>
      <c r="N455">
        <v>1872659.81</v>
      </c>
      <c r="O455" t="s">
        <v>25</v>
      </c>
      <c r="P455" s="10">
        <v>45444</v>
      </c>
      <c r="Q455">
        <v>216375.47</v>
      </c>
      <c r="R455">
        <v>0</v>
      </c>
      <c r="S455" t="s">
        <v>1098</v>
      </c>
      <c r="T455" t="s">
        <v>1095</v>
      </c>
    </row>
    <row r="456" spans="1:20" x14ac:dyDescent="0.3">
      <c r="A456" t="s">
        <v>998</v>
      </c>
      <c r="B456">
        <v>504669</v>
      </c>
      <c r="C456" t="s">
        <v>999</v>
      </c>
      <c r="D456">
        <v>754422929593</v>
      </c>
      <c r="E456" t="s">
        <v>18</v>
      </c>
      <c r="F456" t="s">
        <v>87</v>
      </c>
      <c r="G456" t="s">
        <v>88</v>
      </c>
      <c r="H456" t="s">
        <v>67</v>
      </c>
      <c r="I456" t="s">
        <v>53</v>
      </c>
      <c r="J456">
        <v>153284.23000000001</v>
      </c>
      <c r="K456" t="s">
        <v>49</v>
      </c>
      <c r="L456" s="10">
        <v>45553</v>
      </c>
      <c r="M456" t="s">
        <v>24</v>
      </c>
      <c r="N456">
        <v>2047719.1</v>
      </c>
      <c r="O456" t="s">
        <v>25</v>
      </c>
      <c r="P456" s="10">
        <v>45536</v>
      </c>
      <c r="Q456">
        <v>153284.23000000001</v>
      </c>
      <c r="R456">
        <v>0</v>
      </c>
      <c r="S456" t="s">
        <v>1098</v>
      </c>
      <c r="T456" t="s">
        <v>1095</v>
      </c>
    </row>
    <row r="457" spans="1:20" x14ac:dyDescent="0.3">
      <c r="A457" t="s">
        <v>1000</v>
      </c>
      <c r="B457">
        <v>473260</v>
      </c>
      <c r="C457" t="s">
        <v>1001</v>
      </c>
      <c r="D457">
        <v>304550826056</v>
      </c>
      <c r="E457" t="s">
        <v>28</v>
      </c>
      <c r="F457" t="s">
        <v>150</v>
      </c>
      <c r="G457" t="s">
        <v>151</v>
      </c>
      <c r="H457" t="s">
        <v>31</v>
      </c>
      <c r="I457" t="s">
        <v>53</v>
      </c>
      <c r="J457">
        <v>204242.97</v>
      </c>
      <c r="K457" t="s">
        <v>32</v>
      </c>
      <c r="L457" s="10">
        <v>45408</v>
      </c>
      <c r="M457" t="s">
        <v>24</v>
      </c>
      <c r="N457">
        <v>1266418.3500000001</v>
      </c>
      <c r="O457" t="s">
        <v>25</v>
      </c>
      <c r="P457" s="10">
        <v>45383</v>
      </c>
      <c r="Q457">
        <v>204242.97</v>
      </c>
      <c r="R457">
        <v>0</v>
      </c>
      <c r="S457" t="s">
        <v>1098</v>
      </c>
      <c r="T457" t="s">
        <v>1095</v>
      </c>
    </row>
    <row r="458" spans="1:20" x14ac:dyDescent="0.3">
      <c r="A458" t="s">
        <v>1002</v>
      </c>
      <c r="B458">
        <v>295399</v>
      </c>
      <c r="C458" t="s">
        <v>1003</v>
      </c>
      <c r="D458">
        <v>841211888565</v>
      </c>
      <c r="E458" t="s">
        <v>64</v>
      </c>
      <c r="F458" t="s">
        <v>166</v>
      </c>
      <c r="G458" t="s">
        <v>167</v>
      </c>
      <c r="H458" t="s">
        <v>21</v>
      </c>
      <c r="I458" t="s">
        <v>48</v>
      </c>
      <c r="J458">
        <v>32917.839999999997</v>
      </c>
      <c r="K458" t="s">
        <v>23</v>
      </c>
      <c r="L458" s="10">
        <v>45546</v>
      </c>
      <c r="M458" t="s">
        <v>24</v>
      </c>
      <c r="N458">
        <v>270187.18</v>
      </c>
      <c r="O458" t="s">
        <v>25</v>
      </c>
      <c r="P458" s="10">
        <v>45536</v>
      </c>
      <c r="Q458">
        <v>32917.839999999997</v>
      </c>
      <c r="R458">
        <v>0</v>
      </c>
      <c r="S458" t="s">
        <v>1097</v>
      </c>
      <c r="T458" t="s">
        <v>1095</v>
      </c>
    </row>
    <row r="459" spans="1:20" x14ac:dyDescent="0.3">
      <c r="A459" t="s">
        <v>1004</v>
      </c>
      <c r="B459">
        <v>334036</v>
      </c>
      <c r="C459" t="s">
        <v>1005</v>
      </c>
      <c r="D459">
        <v>537089530790</v>
      </c>
      <c r="E459" t="s">
        <v>35</v>
      </c>
      <c r="F459" t="s">
        <v>60</v>
      </c>
      <c r="G459" t="s">
        <v>61</v>
      </c>
      <c r="H459" t="s">
        <v>67</v>
      </c>
      <c r="I459" t="s">
        <v>38</v>
      </c>
      <c r="J459">
        <v>104083.23</v>
      </c>
      <c r="K459" t="s">
        <v>32</v>
      </c>
      <c r="L459" s="10">
        <v>45391</v>
      </c>
      <c r="M459" t="s">
        <v>24</v>
      </c>
      <c r="N459">
        <v>1489360.81</v>
      </c>
      <c r="O459" t="s">
        <v>25</v>
      </c>
      <c r="P459" s="10">
        <v>45383</v>
      </c>
      <c r="Q459">
        <v>-104083.23</v>
      </c>
      <c r="R459">
        <v>0</v>
      </c>
      <c r="S459" t="s">
        <v>1098</v>
      </c>
      <c r="T459" t="s">
        <v>1095</v>
      </c>
    </row>
    <row r="460" spans="1:20" x14ac:dyDescent="0.3">
      <c r="A460" t="s">
        <v>1006</v>
      </c>
      <c r="B460">
        <v>935158</v>
      </c>
      <c r="C460" t="s">
        <v>1007</v>
      </c>
      <c r="D460">
        <v>944938346542</v>
      </c>
      <c r="E460" t="s">
        <v>64</v>
      </c>
      <c r="F460" t="s">
        <v>177</v>
      </c>
      <c r="G460" t="s">
        <v>178</v>
      </c>
      <c r="H460" t="s">
        <v>70</v>
      </c>
      <c r="I460" t="s">
        <v>48</v>
      </c>
      <c r="J460">
        <v>150210.6</v>
      </c>
      <c r="K460" t="s">
        <v>98</v>
      </c>
      <c r="L460" s="10">
        <v>45624</v>
      </c>
      <c r="M460" t="s">
        <v>24</v>
      </c>
      <c r="N460">
        <v>1487795.84</v>
      </c>
      <c r="O460" t="s">
        <v>25</v>
      </c>
      <c r="P460" s="10">
        <v>45597</v>
      </c>
      <c r="Q460">
        <v>150210.6</v>
      </c>
      <c r="R460">
        <v>0</v>
      </c>
      <c r="S460" t="s">
        <v>1098</v>
      </c>
      <c r="T460" t="s">
        <v>1095</v>
      </c>
    </row>
    <row r="461" spans="1:20" x14ac:dyDescent="0.3">
      <c r="A461" t="s">
        <v>1008</v>
      </c>
      <c r="B461">
        <v>767001</v>
      </c>
      <c r="C461" t="s">
        <v>1009</v>
      </c>
      <c r="D461">
        <v>674606333456</v>
      </c>
      <c r="E461" t="s">
        <v>64</v>
      </c>
      <c r="F461" t="s">
        <v>166</v>
      </c>
      <c r="G461" t="s">
        <v>167</v>
      </c>
      <c r="H461" t="s">
        <v>67</v>
      </c>
      <c r="I461" t="s">
        <v>22</v>
      </c>
      <c r="J461">
        <v>540827.56000000006</v>
      </c>
      <c r="K461" t="s">
        <v>23</v>
      </c>
      <c r="L461" s="10">
        <v>45403</v>
      </c>
      <c r="M461" t="s">
        <v>24</v>
      </c>
      <c r="N461">
        <v>1173477.6299999999</v>
      </c>
      <c r="O461" t="s">
        <v>25</v>
      </c>
      <c r="P461" s="10">
        <v>45383</v>
      </c>
      <c r="Q461">
        <v>540827.56000000006</v>
      </c>
      <c r="R461">
        <v>0</v>
      </c>
      <c r="S461" t="s">
        <v>1097</v>
      </c>
      <c r="T461" t="s">
        <v>1095</v>
      </c>
    </row>
    <row r="462" spans="1:20" x14ac:dyDescent="0.3">
      <c r="A462" t="s">
        <v>1010</v>
      </c>
      <c r="B462">
        <v>969821</v>
      </c>
      <c r="C462" t="s">
        <v>1011</v>
      </c>
      <c r="D462">
        <v>780902409708</v>
      </c>
      <c r="E462" t="s">
        <v>35</v>
      </c>
      <c r="F462" t="s">
        <v>36</v>
      </c>
      <c r="G462" t="s">
        <v>37</v>
      </c>
      <c r="H462" t="s">
        <v>70</v>
      </c>
      <c r="I462" t="s">
        <v>38</v>
      </c>
      <c r="J462">
        <v>137525.01</v>
      </c>
      <c r="K462" t="s">
        <v>39</v>
      </c>
      <c r="L462" s="10">
        <v>45322</v>
      </c>
      <c r="M462" t="s">
        <v>24</v>
      </c>
      <c r="N462">
        <v>1849118.19</v>
      </c>
      <c r="O462" t="s">
        <v>25</v>
      </c>
      <c r="P462" s="10">
        <v>45292</v>
      </c>
      <c r="Q462">
        <v>-137525.01</v>
      </c>
      <c r="R462">
        <v>0</v>
      </c>
      <c r="S462" t="s">
        <v>1098</v>
      </c>
      <c r="T462" t="s">
        <v>1095</v>
      </c>
    </row>
    <row r="463" spans="1:20" x14ac:dyDescent="0.3">
      <c r="A463" t="s">
        <v>1012</v>
      </c>
      <c r="B463">
        <v>567678</v>
      </c>
      <c r="C463" t="s">
        <v>1013</v>
      </c>
      <c r="D463">
        <v>441180444719</v>
      </c>
      <c r="E463" t="s">
        <v>64</v>
      </c>
      <c r="F463" t="s">
        <v>65</v>
      </c>
      <c r="G463" t="s">
        <v>66</v>
      </c>
      <c r="H463" t="s">
        <v>31</v>
      </c>
      <c r="I463" t="s">
        <v>22</v>
      </c>
      <c r="J463">
        <v>520051.76</v>
      </c>
      <c r="K463" t="s">
        <v>39</v>
      </c>
      <c r="L463" s="10">
        <v>45454</v>
      </c>
      <c r="M463" t="s">
        <v>24</v>
      </c>
      <c r="N463">
        <v>1715566.76</v>
      </c>
      <c r="O463" t="s">
        <v>25</v>
      </c>
      <c r="P463" s="10">
        <v>45444</v>
      </c>
      <c r="Q463">
        <v>520051.76</v>
      </c>
      <c r="R463">
        <v>0</v>
      </c>
      <c r="S463" t="s">
        <v>1098</v>
      </c>
      <c r="T463" t="s">
        <v>1095</v>
      </c>
    </row>
    <row r="464" spans="1:20" x14ac:dyDescent="0.3">
      <c r="A464" t="s">
        <v>1014</v>
      </c>
      <c r="B464">
        <v>689621</v>
      </c>
      <c r="C464" t="s">
        <v>1015</v>
      </c>
      <c r="D464">
        <v>996618159017</v>
      </c>
      <c r="E464" t="s">
        <v>91</v>
      </c>
      <c r="F464" t="s">
        <v>130</v>
      </c>
      <c r="G464" t="s">
        <v>131</v>
      </c>
      <c r="H464" t="s">
        <v>70</v>
      </c>
      <c r="I464" t="s">
        <v>48</v>
      </c>
      <c r="J464">
        <v>163962.70000000001</v>
      </c>
      <c r="K464" t="s">
        <v>32</v>
      </c>
      <c r="L464" s="10">
        <v>45211</v>
      </c>
      <c r="M464" t="s">
        <v>24</v>
      </c>
      <c r="N464">
        <v>2001906.48</v>
      </c>
      <c r="O464" t="s">
        <v>25</v>
      </c>
      <c r="P464" s="10">
        <v>45200</v>
      </c>
      <c r="Q464">
        <v>163962.70000000001</v>
      </c>
      <c r="R464">
        <v>0</v>
      </c>
      <c r="S464" t="s">
        <v>1098</v>
      </c>
      <c r="T464" t="s">
        <v>1095</v>
      </c>
    </row>
    <row r="465" spans="1:20" x14ac:dyDescent="0.3">
      <c r="A465" t="s">
        <v>1016</v>
      </c>
      <c r="B465">
        <v>224857</v>
      </c>
      <c r="C465" t="s">
        <v>1017</v>
      </c>
      <c r="D465">
        <v>337595113221</v>
      </c>
      <c r="E465" t="s">
        <v>64</v>
      </c>
      <c r="F465" t="s">
        <v>166</v>
      </c>
      <c r="G465" t="s">
        <v>167</v>
      </c>
      <c r="H465" t="s">
        <v>31</v>
      </c>
      <c r="I465" t="s">
        <v>22</v>
      </c>
      <c r="J465">
        <v>416358.8</v>
      </c>
      <c r="K465" t="s">
        <v>39</v>
      </c>
      <c r="L465" s="10">
        <v>45700</v>
      </c>
      <c r="M465" t="s">
        <v>24</v>
      </c>
      <c r="N465">
        <v>2177281.27</v>
      </c>
      <c r="O465" t="s">
        <v>25</v>
      </c>
      <c r="P465" s="10">
        <v>45689</v>
      </c>
      <c r="Q465">
        <v>416358.8</v>
      </c>
      <c r="R465">
        <v>0</v>
      </c>
      <c r="S465" t="s">
        <v>1098</v>
      </c>
      <c r="T465" t="s">
        <v>1095</v>
      </c>
    </row>
    <row r="466" spans="1:20" x14ac:dyDescent="0.3">
      <c r="A466" t="s">
        <v>1018</v>
      </c>
      <c r="B466">
        <v>240183</v>
      </c>
      <c r="C466" t="s">
        <v>1019</v>
      </c>
      <c r="D466">
        <v>781431196996</v>
      </c>
      <c r="E466" t="s">
        <v>64</v>
      </c>
      <c r="F466" t="s">
        <v>83</v>
      </c>
      <c r="G466" t="s">
        <v>84</v>
      </c>
      <c r="H466" t="s">
        <v>70</v>
      </c>
      <c r="I466" t="s">
        <v>48</v>
      </c>
      <c r="J466">
        <v>102467.43</v>
      </c>
      <c r="K466" t="s">
        <v>98</v>
      </c>
      <c r="L466" s="10">
        <v>45346</v>
      </c>
      <c r="M466" t="s">
        <v>113</v>
      </c>
      <c r="N466">
        <v>1069178.8700000001</v>
      </c>
      <c r="O466" t="s">
        <v>25</v>
      </c>
      <c r="P466" s="10">
        <v>45323</v>
      </c>
      <c r="Q466">
        <v>102467.43</v>
      </c>
      <c r="R466">
        <v>0</v>
      </c>
      <c r="S466" t="s">
        <v>1098</v>
      </c>
      <c r="T466" t="s">
        <v>1095</v>
      </c>
    </row>
    <row r="467" spans="1:20" x14ac:dyDescent="0.3">
      <c r="A467" t="s">
        <v>1020</v>
      </c>
      <c r="B467">
        <v>187594</v>
      </c>
      <c r="C467" t="s">
        <v>1021</v>
      </c>
      <c r="D467">
        <v>670671711566</v>
      </c>
      <c r="E467" t="s">
        <v>18</v>
      </c>
      <c r="F467" t="s">
        <v>19</v>
      </c>
      <c r="G467" t="s">
        <v>20</v>
      </c>
      <c r="H467" t="s">
        <v>31</v>
      </c>
      <c r="I467" t="s">
        <v>53</v>
      </c>
      <c r="J467">
        <v>442525.87</v>
      </c>
      <c r="K467" t="s">
        <v>32</v>
      </c>
      <c r="L467" s="10">
        <v>45627</v>
      </c>
      <c r="M467" t="s">
        <v>24</v>
      </c>
      <c r="N467">
        <v>1221978.27</v>
      </c>
      <c r="O467" t="s">
        <v>25</v>
      </c>
      <c r="P467" s="10">
        <v>45627</v>
      </c>
      <c r="Q467">
        <v>442525.87</v>
      </c>
      <c r="R467">
        <v>0</v>
      </c>
      <c r="S467" t="s">
        <v>1098</v>
      </c>
      <c r="T467" t="s">
        <v>1095</v>
      </c>
    </row>
    <row r="468" spans="1:20" x14ac:dyDescent="0.3">
      <c r="A468" t="s">
        <v>1022</v>
      </c>
      <c r="B468">
        <v>490738</v>
      </c>
      <c r="C468" t="s">
        <v>1023</v>
      </c>
      <c r="D468">
        <v>159475214466</v>
      </c>
      <c r="E468" t="s">
        <v>18</v>
      </c>
      <c r="F468" t="s">
        <v>156</v>
      </c>
      <c r="G468" t="s">
        <v>157</v>
      </c>
      <c r="H468" t="s">
        <v>70</v>
      </c>
      <c r="I468" t="s">
        <v>38</v>
      </c>
      <c r="J468">
        <v>9274.36</v>
      </c>
      <c r="K468" t="s">
        <v>32</v>
      </c>
      <c r="L468" s="10">
        <v>45401</v>
      </c>
      <c r="M468" t="s">
        <v>24</v>
      </c>
      <c r="N468">
        <v>1645111.59</v>
      </c>
      <c r="O468" t="s">
        <v>25</v>
      </c>
      <c r="P468" s="10">
        <v>45383</v>
      </c>
      <c r="Q468">
        <v>-9274.36</v>
      </c>
      <c r="R468">
        <v>0</v>
      </c>
      <c r="S468" t="s">
        <v>1098</v>
      </c>
      <c r="T468" t="s">
        <v>1095</v>
      </c>
    </row>
    <row r="469" spans="1:20" x14ac:dyDescent="0.3">
      <c r="A469" t="s">
        <v>1024</v>
      </c>
      <c r="B469">
        <v>186325</v>
      </c>
      <c r="C469" t="s">
        <v>1025</v>
      </c>
      <c r="D469">
        <v>760895056386</v>
      </c>
      <c r="E469" t="s">
        <v>28</v>
      </c>
      <c r="F469" t="s">
        <v>79</v>
      </c>
      <c r="G469" t="s">
        <v>80</v>
      </c>
      <c r="H469" t="s">
        <v>21</v>
      </c>
      <c r="I469" t="s">
        <v>48</v>
      </c>
      <c r="J469">
        <v>118082.76</v>
      </c>
      <c r="K469" t="s">
        <v>23</v>
      </c>
      <c r="L469" s="10">
        <v>45152</v>
      </c>
      <c r="M469" t="s">
        <v>24</v>
      </c>
      <c r="N469">
        <v>1846449.16</v>
      </c>
      <c r="O469" t="s">
        <v>25</v>
      </c>
      <c r="P469" s="10">
        <v>45139</v>
      </c>
      <c r="Q469">
        <v>118082.76</v>
      </c>
      <c r="R469">
        <v>0</v>
      </c>
      <c r="S469" t="s">
        <v>1097</v>
      </c>
      <c r="T469" t="s">
        <v>1095</v>
      </c>
    </row>
    <row r="470" spans="1:20" x14ac:dyDescent="0.3">
      <c r="A470" t="s">
        <v>1026</v>
      </c>
      <c r="B470">
        <v>441216</v>
      </c>
      <c r="C470" t="s">
        <v>1027</v>
      </c>
      <c r="D470">
        <v>384501417224</v>
      </c>
      <c r="E470" t="s">
        <v>91</v>
      </c>
      <c r="F470" t="s">
        <v>105</v>
      </c>
      <c r="G470" t="s">
        <v>106</v>
      </c>
      <c r="H470" t="s">
        <v>67</v>
      </c>
      <c r="I470" t="s">
        <v>53</v>
      </c>
      <c r="J470">
        <v>15002.6</v>
      </c>
      <c r="K470" t="s">
        <v>49</v>
      </c>
      <c r="L470" s="10">
        <v>45167</v>
      </c>
      <c r="M470" t="s">
        <v>24</v>
      </c>
      <c r="N470">
        <v>426860.72</v>
      </c>
      <c r="O470" t="s">
        <v>25</v>
      </c>
      <c r="P470" s="10">
        <v>45139</v>
      </c>
      <c r="Q470">
        <v>15002.6</v>
      </c>
      <c r="R470">
        <v>0</v>
      </c>
      <c r="S470" t="s">
        <v>1098</v>
      </c>
      <c r="T470" t="s">
        <v>1095</v>
      </c>
    </row>
    <row r="471" spans="1:20" x14ac:dyDescent="0.3">
      <c r="A471" t="s">
        <v>1028</v>
      </c>
      <c r="B471">
        <v>415091</v>
      </c>
      <c r="C471" t="s">
        <v>1029</v>
      </c>
      <c r="D471">
        <v>582715807001</v>
      </c>
      <c r="E471" t="s">
        <v>91</v>
      </c>
      <c r="F471" t="s">
        <v>162</v>
      </c>
      <c r="G471" t="s">
        <v>163</v>
      </c>
      <c r="H471" t="s">
        <v>31</v>
      </c>
      <c r="I471" t="s">
        <v>53</v>
      </c>
      <c r="J471">
        <v>186304.69</v>
      </c>
      <c r="K471" t="s">
        <v>49</v>
      </c>
      <c r="L471" s="10">
        <v>45467</v>
      </c>
      <c r="M471" t="s">
        <v>24</v>
      </c>
      <c r="N471">
        <v>558204.13</v>
      </c>
      <c r="O471" t="s">
        <v>25</v>
      </c>
      <c r="P471" s="10">
        <v>45444</v>
      </c>
      <c r="Q471">
        <v>186304.69</v>
      </c>
      <c r="R471">
        <v>0</v>
      </c>
      <c r="S471" t="s">
        <v>1098</v>
      </c>
      <c r="T471" t="s">
        <v>1095</v>
      </c>
    </row>
    <row r="472" spans="1:20" x14ac:dyDescent="0.3">
      <c r="A472" t="s">
        <v>1030</v>
      </c>
      <c r="B472">
        <v>647451</v>
      </c>
      <c r="C472" t="s">
        <v>1031</v>
      </c>
      <c r="D472">
        <v>908575564799</v>
      </c>
      <c r="E472" t="s">
        <v>28</v>
      </c>
      <c r="F472" t="s">
        <v>79</v>
      </c>
      <c r="G472" t="s">
        <v>80</v>
      </c>
      <c r="H472" t="s">
        <v>67</v>
      </c>
      <c r="I472" t="s">
        <v>53</v>
      </c>
      <c r="J472">
        <v>305720.05</v>
      </c>
      <c r="K472" t="s">
        <v>49</v>
      </c>
      <c r="L472" s="10">
        <v>45698</v>
      </c>
      <c r="M472" t="s">
        <v>113</v>
      </c>
      <c r="N472">
        <v>1570752.15</v>
      </c>
      <c r="O472" t="s">
        <v>25</v>
      </c>
      <c r="P472" s="10">
        <v>45689</v>
      </c>
      <c r="Q472">
        <v>305720.05</v>
      </c>
      <c r="R472">
        <v>0</v>
      </c>
      <c r="S472" t="s">
        <v>1098</v>
      </c>
      <c r="T472" t="s">
        <v>1095</v>
      </c>
    </row>
    <row r="473" spans="1:20" x14ac:dyDescent="0.3">
      <c r="A473" t="s">
        <v>1032</v>
      </c>
      <c r="B473">
        <v>313682</v>
      </c>
      <c r="C473" t="s">
        <v>1033</v>
      </c>
      <c r="D473">
        <v>975793031886</v>
      </c>
      <c r="E473" t="s">
        <v>35</v>
      </c>
      <c r="F473" t="s">
        <v>36</v>
      </c>
      <c r="G473" t="s">
        <v>37</v>
      </c>
      <c r="H473" t="s">
        <v>70</v>
      </c>
      <c r="I473" t="s">
        <v>53</v>
      </c>
      <c r="J473">
        <v>94684.54</v>
      </c>
      <c r="K473" t="s">
        <v>49</v>
      </c>
      <c r="L473" s="10">
        <v>45521</v>
      </c>
      <c r="M473" t="s">
        <v>24</v>
      </c>
      <c r="N473">
        <v>481839.38</v>
      </c>
      <c r="O473" t="s">
        <v>25</v>
      </c>
      <c r="P473" s="10">
        <v>45505</v>
      </c>
      <c r="Q473">
        <v>94684.54</v>
      </c>
      <c r="R473">
        <v>0</v>
      </c>
      <c r="S473" t="s">
        <v>1098</v>
      </c>
      <c r="T473" t="s">
        <v>1095</v>
      </c>
    </row>
    <row r="474" spans="1:20" x14ac:dyDescent="0.3">
      <c r="A474" t="s">
        <v>1034</v>
      </c>
      <c r="B474">
        <v>896301</v>
      </c>
      <c r="C474" t="s">
        <v>1035</v>
      </c>
      <c r="D474">
        <v>434355404660</v>
      </c>
      <c r="E474" t="s">
        <v>91</v>
      </c>
      <c r="F474" t="s">
        <v>109</v>
      </c>
      <c r="G474" t="s">
        <v>110</v>
      </c>
      <c r="H474" t="s">
        <v>31</v>
      </c>
      <c r="I474" t="s">
        <v>53</v>
      </c>
      <c r="J474">
        <v>266228.63</v>
      </c>
      <c r="K474" t="s">
        <v>49</v>
      </c>
      <c r="L474" s="10">
        <v>45724</v>
      </c>
      <c r="M474" t="s">
        <v>24</v>
      </c>
      <c r="N474">
        <v>1677551.8</v>
      </c>
      <c r="O474" t="s">
        <v>25</v>
      </c>
      <c r="P474" s="10">
        <v>45717</v>
      </c>
      <c r="Q474">
        <v>266228.63</v>
      </c>
      <c r="R474">
        <v>0</v>
      </c>
      <c r="S474" t="s">
        <v>1098</v>
      </c>
      <c r="T474" t="s">
        <v>1095</v>
      </c>
    </row>
    <row r="475" spans="1:20" x14ac:dyDescent="0.3">
      <c r="A475" t="s">
        <v>1036</v>
      </c>
      <c r="B475">
        <v>675784</v>
      </c>
      <c r="C475" t="s">
        <v>1037</v>
      </c>
      <c r="D475">
        <v>788941069391</v>
      </c>
      <c r="E475" t="s">
        <v>18</v>
      </c>
      <c r="F475" t="s">
        <v>87</v>
      </c>
      <c r="G475" t="s">
        <v>88</v>
      </c>
      <c r="H475" t="s">
        <v>21</v>
      </c>
      <c r="I475" t="s">
        <v>38</v>
      </c>
      <c r="J475">
        <v>103723.98</v>
      </c>
      <c r="K475" t="s">
        <v>98</v>
      </c>
      <c r="L475" s="10">
        <v>45639</v>
      </c>
      <c r="M475" t="s">
        <v>24</v>
      </c>
      <c r="N475">
        <v>102204.71</v>
      </c>
      <c r="O475" t="s">
        <v>25</v>
      </c>
      <c r="P475" s="10">
        <v>45627</v>
      </c>
      <c r="Q475">
        <v>-103723.98</v>
      </c>
      <c r="R475">
        <v>0</v>
      </c>
      <c r="S475" t="s">
        <v>1098</v>
      </c>
      <c r="T475" t="s">
        <v>1095</v>
      </c>
    </row>
    <row r="476" spans="1:20" x14ac:dyDescent="0.3">
      <c r="A476" t="s">
        <v>1038</v>
      </c>
      <c r="B476">
        <v>555371</v>
      </c>
      <c r="C476" t="s">
        <v>1039</v>
      </c>
      <c r="D476">
        <v>229471966150</v>
      </c>
      <c r="E476" t="s">
        <v>35</v>
      </c>
      <c r="F476" t="s">
        <v>73</v>
      </c>
      <c r="G476" t="s">
        <v>74</v>
      </c>
      <c r="H476" t="s">
        <v>70</v>
      </c>
      <c r="I476" t="s">
        <v>38</v>
      </c>
      <c r="J476">
        <v>82951.97</v>
      </c>
      <c r="K476" t="s">
        <v>39</v>
      </c>
      <c r="L476" s="10">
        <v>45260</v>
      </c>
      <c r="M476" t="s">
        <v>24</v>
      </c>
      <c r="N476">
        <v>1906817.37</v>
      </c>
      <c r="O476" t="s">
        <v>25</v>
      </c>
      <c r="P476" s="10">
        <v>45231</v>
      </c>
      <c r="Q476">
        <v>-82951.97</v>
      </c>
      <c r="R476">
        <v>0</v>
      </c>
      <c r="S476" t="s">
        <v>1098</v>
      </c>
      <c r="T476" t="s">
        <v>1095</v>
      </c>
    </row>
    <row r="477" spans="1:20" x14ac:dyDescent="0.3">
      <c r="A477" t="s">
        <v>1040</v>
      </c>
      <c r="B477">
        <v>718015</v>
      </c>
      <c r="C477" t="s">
        <v>1041</v>
      </c>
      <c r="D477">
        <v>312934784546</v>
      </c>
      <c r="E477" t="s">
        <v>35</v>
      </c>
      <c r="F477" t="s">
        <v>73</v>
      </c>
      <c r="G477" t="s">
        <v>74</v>
      </c>
      <c r="H477" t="s">
        <v>31</v>
      </c>
      <c r="I477" t="s">
        <v>53</v>
      </c>
      <c r="J477">
        <v>90532.41</v>
      </c>
      <c r="K477" t="s">
        <v>98</v>
      </c>
      <c r="L477" s="10">
        <v>45470</v>
      </c>
      <c r="M477" t="s">
        <v>24</v>
      </c>
      <c r="N477">
        <v>1284948.74</v>
      </c>
      <c r="O477" t="s">
        <v>25</v>
      </c>
      <c r="P477" s="10">
        <v>45444</v>
      </c>
      <c r="Q477">
        <v>90532.41</v>
      </c>
      <c r="R477">
        <v>0</v>
      </c>
      <c r="S477" t="s">
        <v>1098</v>
      </c>
      <c r="T477" t="s">
        <v>1095</v>
      </c>
    </row>
    <row r="478" spans="1:20" x14ac:dyDescent="0.3">
      <c r="A478" t="s">
        <v>1042</v>
      </c>
      <c r="B478">
        <v>303217</v>
      </c>
      <c r="C478" t="s">
        <v>1043</v>
      </c>
      <c r="D478">
        <v>628667719492</v>
      </c>
      <c r="E478" t="s">
        <v>64</v>
      </c>
      <c r="F478" t="s">
        <v>177</v>
      </c>
      <c r="G478" t="s">
        <v>178</v>
      </c>
      <c r="H478" t="s">
        <v>21</v>
      </c>
      <c r="I478" t="s">
        <v>53</v>
      </c>
      <c r="J478">
        <v>25585.29</v>
      </c>
      <c r="K478" t="s">
        <v>32</v>
      </c>
      <c r="L478" s="10">
        <v>45122</v>
      </c>
      <c r="M478" t="s">
        <v>24</v>
      </c>
      <c r="N478">
        <v>1386616.39</v>
      </c>
      <c r="O478" t="s">
        <v>25</v>
      </c>
      <c r="P478" s="10">
        <v>45108</v>
      </c>
      <c r="Q478">
        <v>25585.29</v>
      </c>
      <c r="R478">
        <v>0</v>
      </c>
      <c r="S478" t="s">
        <v>1098</v>
      </c>
      <c r="T478" t="s">
        <v>1095</v>
      </c>
    </row>
    <row r="479" spans="1:20" x14ac:dyDescent="0.3">
      <c r="A479" t="s">
        <v>1044</v>
      </c>
      <c r="B479">
        <v>946247</v>
      </c>
      <c r="C479" t="s">
        <v>1045</v>
      </c>
      <c r="D479">
        <v>800614144292</v>
      </c>
      <c r="E479" t="s">
        <v>35</v>
      </c>
      <c r="F479" t="s">
        <v>36</v>
      </c>
      <c r="G479" t="s">
        <v>37</v>
      </c>
      <c r="H479" t="s">
        <v>67</v>
      </c>
      <c r="I479" t="s">
        <v>53</v>
      </c>
      <c r="J479">
        <v>84085.59</v>
      </c>
      <c r="K479" t="s">
        <v>49</v>
      </c>
      <c r="L479" s="10">
        <v>45268</v>
      </c>
      <c r="M479" t="s">
        <v>24</v>
      </c>
      <c r="N479">
        <v>2036998.71</v>
      </c>
      <c r="O479" t="s">
        <v>25</v>
      </c>
      <c r="P479" s="10">
        <v>45261</v>
      </c>
      <c r="Q479">
        <v>84085.59</v>
      </c>
      <c r="R479">
        <v>0</v>
      </c>
      <c r="S479" t="s">
        <v>1098</v>
      </c>
      <c r="T479" t="s">
        <v>1095</v>
      </c>
    </row>
    <row r="480" spans="1:20" x14ac:dyDescent="0.3">
      <c r="A480" t="s">
        <v>1046</v>
      </c>
      <c r="B480">
        <v>613463</v>
      </c>
      <c r="C480" t="s">
        <v>1047</v>
      </c>
      <c r="D480">
        <v>350731897846</v>
      </c>
      <c r="E480" t="s">
        <v>18</v>
      </c>
      <c r="F480" t="s">
        <v>19</v>
      </c>
      <c r="G480" t="s">
        <v>20</v>
      </c>
      <c r="H480" t="s">
        <v>21</v>
      </c>
      <c r="I480" t="s">
        <v>53</v>
      </c>
      <c r="J480">
        <v>257896.04</v>
      </c>
      <c r="K480" t="s">
        <v>39</v>
      </c>
      <c r="L480" s="10">
        <v>45607</v>
      </c>
      <c r="M480" t="s">
        <v>168</v>
      </c>
      <c r="N480">
        <v>333007.69</v>
      </c>
      <c r="O480" t="s">
        <v>25</v>
      </c>
      <c r="P480" s="10">
        <v>45597</v>
      </c>
      <c r="Q480">
        <v>257896.04</v>
      </c>
      <c r="R480">
        <v>0</v>
      </c>
      <c r="S480" t="s">
        <v>1098</v>
      </c>
      <c r="T480" t="s">
        <v>1095</v>
      </c>
    </row>
    <row r="481" spans="1:20" x14ac:dyDescent="0.3">
      <c r="A481" t="s">
        <v>1048</v>
      </c>
      <c r="B481">
        <v>153582</v>
      </c>
      <c r="C481" t="s">
        <v>1049</v>
      </c>
      <c r="D481">
        <v>830198079057</v>
      </c>
      <c r="E481" t="s">
        <v>91</v>
      </c>
      <c r="F481" t="s">
        <v>92</v>
      </c>
      <c r="G481" t="s">
        <v>93</v>
      </c>
      <c r="H481" t="s">
        <v>70</v>
      </c>
      <c r="I481" t="s">
        <v>48</v>
      </c>
      <c r="J481">
        <v>142440</v>
      </c>
      <c r="K481" t="s">
        <v>32</v>
      </c>
      <c r="L481" s="10">
        <v>45560</v>
      </c>
      <c r="M481" t="s">
        <v>50</v>
      </c>
      <c r="N481">
        <v>778782.49</v>
      </c>
      <c r="O481" t="s">
        <v>25</v>
      </c>
      <c r="P481" s="10">
        <v>45536</v>
      </c>
      <c r="Q481">
        <v>142440</v>
      </c>
      <c r="R481">
        <v>0</v>
      </c>
      <c r="S481" t="s">
        <v>1098</v>
      </c>
      <c r="T481" t="s">
        <v>1095</v>
      </c>
    </row>
    <row r="482" spans="1:20" x14ac:dyDescent="0.3">
      <c r="A482" t="s">
        <v>1050</v>
      </c>
      <c r="B482">
        <v>100803</v>
      </c>
      <c r="C482" t="s">
        <v>1051</v>
      </c>
      <c r="D482">
        <v>343430050066</v>
      </c>
      <c r="E482" t="s">
        <v>18</v>
      </c>
      <c r="F482" t="s">
        <v>19</v>
      </c>
      <c r="G482" t="s">
        <v>20</v>
      </c>
      <c r="H482" t="s">
        <v>21</v>
      </c>
      <c r="I482" t="s">
        <v>48</v>
      </c>
      <c r="J482">
        <v>103601.04</v>
      </c>
      <c r="K482" t="s">
        <v>39</v>
      </c>
      <c r="L482" s="10">
        <v>45181</v>
      </c>
      <c r="M482" t="s">
        <v>24</v>
      </c>
      <c r="N482">
        <v>536358.44999999995</v>
      </c>
      <c r="O482" t="s">
        <v>25</v>
      </c>
      <c r="P482" s="10">
        <v>45170</v>
      </c>
      <c r="Q482">
        <v>103601.04</v>
      </c>
      <c r="R482">
        <v>0</v>
      </c>
      <c r="S482" t="s">
        <v>1098</v>
      </c>
      <c r="T482" t="s">
        <v>1095</v>
      </c>
    </row>
    <row r="483" spans="1:20" x14ac:dyDescent="0.3">
      <c r="A483" t="s">
        <v>1052</v>
      </c>
      <c r="B483">
        <v>520243</v>
      </c>
      <c r="C483" t="s">
        <v>1053</v>
      </c>
      <c r="D483">
        <v>340851237938</v>
      </c>
      <c r="E483" t="s">
        <v>28</v>
      </c>
      <c r="F483" t="s">
        <v>150</v>
      </c>
      <c r="G483" t="s">
        <v>151</v>
      </c>
      <c r="H483" t="s">
        <v>31</v>
      </c>
      <c r="I483" t="s">
        <v>22</v>
      </c>
      <c r="J483">
        <v>556413.30000000005</v>
      </c>
      <c r="K483" t="s">
        <v>39</v>
      </c>
      <c r="L483" s="10">
        <v>45825</v>
      </c>
      <c r="M483" t="s">
        <v>24</v>
      </c>
      <c r="N483">
        <v>1461132.13</v>
      </c>
      <c r="O483" t="s">
        <v>25</v>
      </c>
      <c r="P483" s="10">
        <v>45809</v>
      </c>
      <c r="Q483">
        <v>556413.30000000005</v>
      </c>
      <c r="R483">
        <v>0</v>
      </c>
      <c r="S483" t="s">
        <v>1098</v>
      </c>
      <c r="T483" t="s">
        <v>1095</v>
      </c>
    </row>
    <row r="484" spans="1:20" x14ac:dyDescent="0.3">
      <c r="A484" t="s">
        <v>1054</v>
      </c>
      <c r="B484">
        <v>314894</v>
      </c>
      <c r="C484" t="s">
        <v>1055</v>
      </c>
      <c r="D484">
        <v>751158319736</v>
      </c>
      <c r="E484" t="s">
        <v>64</v>
      </c>
      <c r="F484" t="s">
        <v>177</v>
      </c>
      <c r="G484" t="s">
        <v>178</v>
      </c>
      <c r="H484" t="s">
        <v>67</v>
      </c>
      <c r="I484" t="s">
        <v>48</v>
      </c>
      <c r="J484">
        <v>4495.21</v>
      </c>
      <c r="K484" t="s">
        <v>32</v>
      </c>
      <c r="L484" s="10">
        <v>45185</v>
      </c>
      <c r="M484" t="s">
        <v>24</v>
      </c>
      <c r="N484">
        <v>275353.39</v>
      </c>
      <c r="O484" t="s">
        <v>25</v>
      </c>
      <c r="P484" s="10">
        <v>45170</v>
      </c>
      <c r="Q484">
        <v>4495.21</v>
      </c>
      <c r="R484">
        <v>0</v>
      </c>
      <c r="S484" t="s">
        <v>1098</v>
      </c>
      <c r="T484" t="s">
        <v>1095</v>
      </c>
    </row>
    <row r="485" spans="1:20" x14ac:dyDescent="0.3">
      <c r="A485" t="s">
        <v>1056</v>
      </c>
      <c r="B485">
        <v>779817</v>
      </c>
      <c r="C485" t="s">
        <v>1057</v>
      </c>
      <c r="D485">
        <v>549818142528</v>
      </c>
      <c r="E485" t="s">
        <v>18</v>
      </c>
      <c r="F485" t="s">
        <v>46</v>
      </c>
      <c r="G485" t="s">
        <v>47</v>
      </c>
      <c r="H485" t="s">
        <v>21</v>
      </c>
      <c r="I485" t="s">
        <v>22</v>
      </c>
      <c r="J485">
        <v>125743.7</v>
      </c>
      <c r="K485" t="s">
        <v>39</v>
      </c>
      <c r="L485" s="10">
        <v>45624</v>
      </c>
      <c r="M485" t="s">
        <v>50</v>
      </c>
      <c r="N485">
        <v>1452499.81</v>
      </c>
      <c r="O485" t="s">
        <v>25</v>
      </c>
      <c r="P485" s="10">
        <v>45597</v>
      </c>
      <c r="Q485">
        <v>125743.7</v>
      </c>
      <c r="R485">
        <v>0</v>
      </c>
      <c r="S485" t="s">
        <v>1098</v>
      </c>
      <c r="T485" t="s">
        <v>1095</v>
      </c>
    </row>
    <row r="486" spans="1:20" x14ac:dyDescent="0.3">
      <c r="A486" t="s">
        <v>1058</v>
      </c>
      <c r="B486">
        <v>682271</v>
      </c>
      <c r="C486" t="s">
        <v>1059</v>
      </c>
      <c r="D486">
        <v>911510411130</v>
      </c>
      <c r="E486" t="s">
        <v>18</v>
      </c>
      <c r="F486" t="s">
        <v>156</v>
      </c>
      <c r="G486" t="s">
        <v>157</v>
      </c>
      <c r="H486" t="s">
        <v>70</v>
      </c>
      <c r="I486" t="s">
        <v>22</v>
      </c>
      <c r="J486">
        <v>420581.41</v>
      </c>
      <c r="K486" t="s">
        <v>98</v>
      </c>
      <c r="L486" s="10">
        <v>45699</v>
      </c>
      <c r="M486" t="s">
        <v>24</v>
      </c>
      <c r="N486">
        <v>893133.07</v>
      </c>
      <c r="O486" t="s">
        <v>25</v>
      </c>
      <c r="P486" s="10">
        <v>45689</v>
      </c>
      <c r="Q486">
        <v>420581.41</v>
      </c>
      <c r="R486">
        <v>0</v>
      </c>
      <c r="S486" t="s">
        <v>1098</v>
      </c>
      <c r="T486" t="s">
        <v>1095</v>
      </c>
    </row>
    <row r="487" spans="1:20" x14ac:dyDescent="0.3">
      <c r="A487" t="s">
        <v>1060</v>
      </c>
      <c r="B487">
        <v>132455</v>
      </c>
      <c r="C487" t="s">
        <v>1061</v>
      </c>
      <c r="D487">
        <v>378333556205</v>
      </c>
      <c r="E487" t="s">
        <v>91</v>
      </c>
      <c r="F487" t="s">
        <v>162</v>
      </c>
      <c r="G487" t="s">
        <v>163</v>
      </c>
      <c r="H487" t="s">
        <v>70</v>
      </c>
      <c r="I487" t="s">
        <v>38</v>
      </c>
      <c r="J487">
        <v>49848.98</v>
      </c>
      <c r="K487" t="s">
        <v>49</v>
      </c>
      <c r="L487" s="10">
        <v>45438</v>
      </c>
      <c r="M487" t="s">
        <v>24</v>
      </c>
      <c r="N487">
        <v>1288147.47</v>
      </c>
      <c r="O487" t="s">
        <v>25</v>
      </c>
      <c r="P487" s="10">
        <v>45413</v>
      </c>
      <c r="Q487">
        <v>-49848.98</v>
      </c>
      <c r="R487">
        <v>0</v>
      </c>
      <c r="S487" t="s">
        <v>1098</v>
      </c>
      <c r="T487" t="s">
        <v>1095</v>
      </c>
    </row>
    <row r="488" spans="1:20" x14ac:dyDescent="0.3">
      <c r="A488" t="s">
        <v>1062</v>
      </c>
      <c r="B488">
        <v>568353</v>
      </c>
      <c r="C488" t="s">
        <v>1063</v>
      </c>
      <c r="D488">
        <v>143654336794</v>
      </c>
      <c r="E488" t="s">
        <v>64</v>
      </c>
      <c r="F488" t="s">
        <v>146</v>
      </c>
      <c r="G488" t="s">
        <v>147</v>
      </c>
      <c r="H488" t="s">
        <v>31</v>
      </c>
      <c r="I488" t="s">
        <v>22</v>
      </c>
      <c r="J488">
        <v>197544.78</v>
      </c>
      <c r="K488" t="s">
        <v>49</v>
      </c>
      <c r="L488" s="10">
        <v>45207</v>
      </c>
      <c r="M488" t="s">
        <v>168</v>
      </c>
      <c r="N488">
        <v>868558.72</v>
      </c>
      <c r="O488" t="s">
        <v>25</v>
      </c>
      <c r="P488" s="10">
        <v>45200</v>
      </c>
      <c r="Q488">
        <v>197544.78</v>
      </c>
      <c r="R488">
        <v>0</v>
      </c>
      <c r="S488" t="s">
        <v>1098</v>
      </c>
      <c r="T488" t="s">
        <v>1095</v>
      </c>
    </row>
    <row r="489" spans="1:20" x14ac:dyDescent="0.3">
      <c r="A489" t="s">
        <v>1064</v>
      </c>
      <c r="B489">
        <v>802444</v>
      </c>
      <c r="C489" t="s">
        <v>1065</v>
      </c>
      <c r="D489">
        <v>582762750258</v>
      </c>
      <c r="E489" t="s">
        <v>28</v>
      </c>
      <c r="F489" t="s">
        <v>192</v>
      </c>
      <c r="G489" t="s">
        <v>193</v>
      </c>
      <c r="H489" t="s">
        <v>67</v>
      </c>
      <c r="I489" t="s">
        <v>38</v>
      </c>
      <c r="J489">
        <v>141177.64000000001</v>
      </c>
      <c r="K489" t="s">
        <v>23</v>
      </c>
      <c r="L489" s="10">
        <v>45587</v>
      </c>
      <c r="M489" t="s">
        <v>24</v>
      </c>
      <c r="N489">
        <v>1843493.98</v>
      </c>
      <c r="O489" t="s">
        <v>25</v>
      </c>
      <c r="P489" s="10">
        <v>45566</v>
      </c>
      <c r="Q489">
        <v>-141177.64000000001</v>
      </c>
      <c r="R489">
        <v>0</v>
      </c>
      <c r="S489" t="s">
        <v>1097</v>
      </c>
      <c r="T489" t="s">
        <v>1095</v>
      </c>
    </row>
    <row r="490" spans="1:20" x14ac:dyDescent="0.3">
      <c r="A490" t="s">
        <v>1066</v>
      </c>
      <c r="B490">
        <v>978548</v>
      </c>
      <c r="C490" t="s">
        <v>1067</v>
      </c>
      <c r="D490">
        <v>331032149981</v>
      </c>
      <c r="E490" t="s">
        <v>64</v>
      </c>
      <c r="F490" t="s">
        <v>83</v>
      </c>
      <c r="G490" t="s">
        <v>84</v>
      </c>
      <c r="H490" t="s">
        <v>67</v>
      </c>
      <c r="I490" t="s">
        <v>22</v>
      </c>
      <c r="J490">
        <v>50422.44</v>
      </c>
      <c r="K490" t="s">
        <v>98</v>
      </c>
      <c r="L490" s="10">
        <v>45670</v>
      </c>
      <c r="M490" t="s">
        <v>24</v>
      </c>
      <c r="N490">
        <v>322201.67</v>
      </c>
      <c r="O490" t="s">
        <v>25</v>
      </c>
      <c r="P490" s="10">
        <v>45658</v>
      </c>
      <c r="Q490">
        <v>50422.44</v>
      </c>
      <c r="R490">
        <v>0</v>
      </c>
      <c r="S490" t="s">
        <v>1098</v>
      </c>
      <c r="T490" t="s">
        <v>1095</v>
      </c>
    </row>
    <row r="491" spans="1:20" x14ac:dyDescent="0.3">
      <c r="A491" t="s">
        <v>1068</v>
      </c>
      <c r="B491">
        <v>851257</v>
      </c>
      <c r="C491" t="s">
        <v>1069</v>
      </c>
      <c r="D491">
        <v>990997552935</v>
      </c>
      <c r="E491" t="s">
        <v>35</v>
      </c>
      <c r="F491" t="s">
        <v>73</v>
      </c>
      <c r="G491" t="s">
        <v>74</v>
      </c>
      <c r="H491" t="s">
        <v>70</v>
      </c>
      <c r="I491" t="s">
        <v>53</v>
      </c>
      <c r="J491">
        <v>342132.86</v>
      </c>
      <c r="K491" t="s">
        <v>23</v>
      </c>
      <c r="L491" s="10">
        <v>45164</v>
      </c>
      <c r="M491" t="s">
        <v>24</v>
      </c>
      <c r="N491">
        <v>884872.35</v>
      </c>
      <c r="O491" t="s">
        <v>25</v>
      </c>
      <c r="P491" s="10">
        <v>45139</v>
      </c>
      <c r="Q491">
        <v>342132.86</v>
      </c>
      <c r="R491">
        <v>0</v>
      </c>
      <c r="S491" t="s">
        <v>1097</v>
      </c>
      <c r="T491" t="s">
        <v>1095</v>
      </c>
    </row>
    <row r="492" spans="1:20" x14ac:dyDescent="0.3">
      <c r="A492" t="s">
        <v>1070</v>
      </c>
      <c r="B492">
        <v>795373</v>
      </c>
      <c r="C492" t="s">
        <v>1071</v>
      </c>
      <c r="D492">
        <v>289850951999</v>
      </c>
      <c r="E492" t="s">
        <v>28</v>
      </c>
      <c r="F492" t="s">
        <v>79</v>
      </c>
      <c r="G492" t="s">
        <v>80</v>
      </c>
      <c r="H492" t="s">
        <v>31</v>
      </c>
      <c r="I492" t="s">
        <v>48</v>
      </c>
      <c r="J492">
        <v>232001.45</v>
      </c>
      <c r="K492" t="s">
        <v>49</v>
      </c>
      <c r="L492" s="10">
        <v>45680</v>
      </c>
      <c r="M492" t="s">
        <v>24</v>
      </c>
      <c r="N492">
        <v>669999.41</v>
      </c>
      <c r="O492" t="s">
        <v>25</v>
      </c>
      <c r="P492" s="10">
        <v>45658</v>
      </c>
      <c r="Q492">
        <v>232001.45</v>
      </c>
      <c r="R492">
        <v>0</v>
      </c>
      <c r="S492" t="s">
        <v>1098</v>
      </c>
      <c r="T492" t="s">
        <v>1095</v>
      </c>
    </row>
    <row r="493" spans="1:20" x14ac:dyDescent="0.3">
      <c r="A493" t="s">
        <v>1072</v>
      </c>
      <c r="B493">
        <v>117914</v>
      </c>
      <c r="C493" t="s">
        <v>1073</v>
      </c>
      <c r="D493">
        <v>764425244728</v>
      </c>
      <c r="E493" t="s">
        <v>18</v>
      </c>
      <c r="F493" t="s">
        <v>56</v>
      </c>
      <c r="G493" t="s">
        <v>57</v>
      </c>
      <c r="H493" t="s">
        <v>31</v>
      </c>
      <c r="I493" t="s">
        <v>38</v>
      </c>
      <c r="J493">
        <v>109038.03</v>
      </c>
      <c r="K493" t="s">
        <v>98</v>
      </c>
      <c r="L493" s="10">
        <v>45303</v>
      </c>
      <c r="M493" t="s">
        <v>24</v>
      </c>
      <c r="N493">
        <v>1219596.98</v>
      </c>
      <c r="O493" t="s">
        <v>25</v>
      </c>
      <c r="P493" s="10">
        <v>45292</v>
      </c>
      <c r="Q493">
        <v>-109038.03</v>
      </c>
      <c r="R493">
        <v>0</v>
      </c>
      <c r="S493" t="s">
        <v>1098</v>
      </c>
      <c r="T493" t="s">
        <v>1095</v>
      </c>
    </row>
    <row r="494" spans="1:20" x14ac:dyDescent="0.3">
      <c r="A494" t="s">
        <v>1074</v>
      </c>
      <c r="B494">
        <v>648879</v>
      </c>
      <c r="C494" t="s">
        <v>1075</v>
      </c>
      <c r="D494">
        <v>504085367461</v>
      </c>
      <c r="E494" t="s">
        <v>91</v>
      </c>
      <c r="F494" t="s">
        <v>92</v>
      </c>
      <c r="G494" t="s">
        <v>93</v>
      </c>
      <c r="H494" t="s">
        <v>67</v>
      </c>
      <c r="I494" t="s">
        <v>53</v>
      </c>
      <c r="J494">
        <v>475452.83</v>
      </c>
      <c r="K494" t="s">
        <v>39</v>
      </c>
      <c r="L494" s="10">
        <v>45256</v>
      </c>
      <c r="M494" t="s">
        <v>113</v>
      </c>
      <c r="N494">
        <v>917029.60000000009</v>
      </c>
      <c r="O494" t="s">
        <v>25</v>
      </c>
      <c r="P494" s="10">
        <v>45231</v>
      </c>
      <c r="Q494">
        <v>475452.83</v>
      </c>
      <c r="R494">
        <v>0</v>
      </c>
      <c r="S494" t="s">
        <v>1098</v>
      </c>
      <c r="T494" t="s">
        <v>1095</v>
      </c>
    </row>
    <row r="495" spans="1:20" x14ac:dyDescent="0.3">
      <c r="A495" t="s">
        <v>1076</v>
      </c>
      <c r="B495">
        <v>128077</v>
      </c>
      <c r="C495" t="s">
        <v>1077</v>
      </c>
      <c r="D495">
        <v>252386211751</v>
      </c>
      <c r="E495" t="s">
        <v>28</v>
      </c>
      <c r="F495" t="s">
        <v>192</v>
      </c>
      <c r="G495" t="s">
        <v>193</v>
      </c>
      <c r="H495" t="s">
        <v>70</v>
      </c>
      <c r="I495" t="s">
        <v>48</v>
      </c>
      <c r="J495">
        <v>281600.58</v>
      </c>
      <c r="K495" t="s">
        <v>23</v>
      </c>
      <c r="L495" s="10">
        <v>45150</v>
      </c>
      <c r="M495" t="s">
        <v>24</v>
      </c>
      <c r="N495">
        <v>2051395.59</v>
      </c>
      <c r="O495" t="s">
        <v>25</v>
      </c>
      <c r="P495" s="10">
        <v>45139</v>
      </c>
      <c r="Q495">
        <v>281600.58</v>
      </c>
      <c r="R495">
        <v>0</v>
      </c>
      <c r="S495" t="s">
        <v>1097</v>
      </c>
      <c r="T495" t="s">
        <v>1095</v>
      </c>
    </row>
    <row r="496" spans="1:20" x14ac:dyDescent="0.3">
      <c r="A496" t="s">
        <v>1078</v>
      </c>
      <c r="B496">
        <v>882387</v>
      </c>
      <c r="C496" t="s">
        <v>1079</v>
      </c>
      <c r="D496">
        <v>732722911089</v>
      </c>
      <c r="E496" t="s">
        <v>35</v>
      </c>
      <c r="F496" t="s">
        <v>42</v>
      </c>
      <c r="G496" t="s">
        <v>43</v>
      </c>
      <c r="H496" t="s">
        <v>21</v>
      </c>
      <c r="I496" t="s">
        <v>48</v>
      </c>
      <c r="J496">
        <v>44124.36</v>
      </c>
      <c r="K496" t="s">
        <v>98</v>
      </c>
      <c r="L496" s="10">
        <v>45597</v>
      </c>
      <c r="M496" t="s">
        <v>168</v>
      </c>
      <c r="N496">
        <v>1627631.54</v>
      </c>
      <c r="O496" t="s">
        <v>25</v>
      </c>
      <c r="P496" s="10">
        <v>45597</v>
      </c>
      <c r="Q496">
        <v>44124.36</v>
      </c>
      <c r="R496">
        <v>0</v>
      </c>
      <c r="S496" t="s">
        <v>1098</v>
      </c>
      <c r="T496" t="s">
        <v>1095</v>
      </c>
    </row>
    <row r="497" spans="1:20" x14ac:dyDescent="0.3">
      <c r="A497" t="s">
        <v>1080</v>
      </c>
      <c r="B497">
        <v>372576</v>
      </c>
      <c r="C497" t="s">
        <v>1081</v>
      </c>
      <c r="D497">
        <v>450052315274</v>
      </c>
      <c r="E497" t="s">
        <v>64</v>
      </c>
      <c r="F497" t="s">
        <v>83</v>
      </c>
      <c r="G497" t="s">
        <v>84</v>
      </c>
      <c r="H497" t="s">
        <v>31</v>
      </c>
      <c r="I497" t="s">
        <v>48</v>
      </c>
      <c r="J497">
        <v>16012.31</v>
      </c>
      <c r="K497" t="s">
        <v>32</v>
      </c>
      <c r="L497" s="10">
        <v>45422</v>
      </c>
      <c r="M497" t="s">
        <v>113</v>
      </c>
      <c r="N497">
        <v>1116498.8999999999</v>
      </c>
      <c r="O497" t="s">
        <v>25</v>
      </c>
      <c r="P497" s="10">
        <v>45413</v>
      </c>
      <c r="Q497">
        <v>16012.31</v>
      </c>
      <c r="R497">
        <v>0</v>
      </c>
      <c r="S497" t="s">
        <v>1098</v>
      </c>
      <c r="T497" t="s">
        <v>1095</v>
      </c>
    </row>
    <row r="498" spans="1:20" x14ac:dyDescent="0.3">
      <c r="A498" t="s">
        <v>1082</v>
      </c>
      <c r="B498">
        <v>973339</v>
      </c>
      <c r="C498" t="s">
        <v>1083</v>
      </c>
      <c r="D498">
        <v>617919454254</v>
      </c>
      <c r="E498" t="s">
        <v>35</v>
      </c>
      <c r="F498" t="s">
        <v>60</v>
      </c>
      <c r="G498" t="s">
        <v>61</v>
      </c>
      <c r="H498" t="s">
        <v>31</v>
      </c>
      <c r="I498" t="s">
        <v>38</v>
      </c>
      <c r="J498">
        <v>129630.37</v>
      </c>
      <c r="K498" t="s">
        <v>49</v>
      </c>
      <c r="L498" s="10">
        <v>45323</v>
      </c>
      <c r="M498" t="s">
        <v>24</v>
      </c>
      <c r="N498">
        <v>1652562.49</v>
      </c>
      <c r="O498" t="s">
        <v>25</v>
      </c>
      <c r="P498" s="10">
        <v>45323</v>
      </c>
      <c r="Q498">
        <v>-129630.37</v>
      </c>
      <c r="R498">
        <v>0</v>
      </c>
      <c r="S498" t="s">
        <v>1098</v>
      </c>
      <c r="T498" t="s">
        <v>1095</v>
      </c>
    </row>
    <row r="499" spans="1:20" x14ac:dyDescent="0.3">
      <c r="A499" t="s">
        <v>1084</v>
      </c>
      <c r="B499">
        <v>227576</v>
      </c>
      <c r="C499" t="s">
        <v>1085</v>
      </c>
      <c r="D499">
        <v>369866165241</v>
      </c>
      <c r="E499" t="s">
        <v>64</v>
      </c>
      <c r="F499" t="s">
        <v>65</v>
      </c>
      <c r="G499" t="s">
        <v>66</v>
      </c>
      <c r="H499" t="s">
        <v>21</v>
      </c>
      <c r="I499" t="s">
        <v>22</v>
      </c>
      <c r="J499">
        <v>307632.5</v>
      </c>
      <c r="K499" t="s">
        <v>98</v>
      </c>
      <c r="L499" s="10">
        <v>45407</v>
      </c>
      <c r="M499" t="s">
        <v>24</v>
      </c>
      <c r="N499">
        <v>448240.99</v>
      </c>
      <c r="O499" t="s">
        <v>25</v>
      </c>
      <c r="P499" s="10">
        <v>45383</v>
      </c>
      <c r="Q499">
        <v>307632.5</v>
      </c>
      <c r="R499">
        <v>0</v>
      </c>
      <c r="S499" t="s">
        <v>1098</v>
      </c>
      <c r="T499" t="s">
        <v>1095</v>
      </c>
    </row>
    <row r="500" spans="1:20" x14ac:dyDescent="0.3">
      <c r="A500" t="s">
        <v>1086</v>
      </c>
      <c r="B500">
        <v>209976</v>
      </c>
      <c r="C500" t="s">
        <v>1087</v>
      </c>
      <c r="D500">
        <v>238320682537</v>
      </c>
      <c r="E500" t="s">
        <v>64</v>
      </c>
      <c r="F500" t="s">
        <v>83</v>
      </c>
      <c r="G500" t="s">
        <v>84</v>
      </c>
      <c r="H500" t="s">
        <v>67</v>
      </c>
      <c r="I500" t="s">
        <v>53</v>
      </c>
      <c r="J500">
        <v>345920.42</v>
      </c>
      <c r="K500" t="s">
        <v>49</v>
      </c>
      <c r="L500" s="10">
        <v>45535</v>
      </c>
      <c r="M500" t="s">
        <v>24</v>
      </c>
      <c r="N500">
        <v>1012522.46</v>
      </c>
      <c r="O500" t="s">
        <v>25</v>
      </c>
      <c r="P500" s="10">
        <v>45505</v>
      </c>
      <c r="Q500">
        <v>345920.42</v>
      </c>
      <c r="R500">
        <v>0</v>
      </c>
      <c r="S500" t="s">
        <v>1098</v>
      </c>
      <c r="T500" t="s">
        <v>1095</v>
      </c>
    </row>
    <row r="501" spans="1:20" x14ac:dyDescent="0.3">
      <c r="A501" t="s">
        <v>1088</v>
      </c>
      <c r="B501">
        <v>429704</v>
      </c>
      <c r="C501" t="s">
        <v>1089</v>
      </c>
      <c r="D501">
        <v>127631697094</v>
      </c>
      <c r="E501" t="s">
        <v>18</v>
      </c>
      <c r="F501" t="s">
        <v>156</v>
      </c>
      <c r="G501" t="s">
        <v>157</v>
      </c>
      <c r="H501" t="s">
        <v>67</v>
      </c>
      <c r="I501" t="s">
        <v>48</v>
      </c>
      <c r="J501">
        <v>140084.76999999999</v>
      </c>
      <c r="K501" t="s">
        <v>39</v>
      </c>
      <c r="L501" s="10">
        <v>45842</v>
      </c>
      <c r="M501" t="s">
        <v>24</v>
      </c>
      <c r="N501">
        <v>1217164.3999999999</v>
      </c>
      <c r="O501" t="s">
        <v>25</v>
      </c>
      <c r="P501" s="10">
        <v>45839</v>
      </c>
      <c r="Q501">
        <v>140084.76999999999</v>
      </c>
      <c r="R501">
        <v>0</v>
      </c>
      <c r="S501" t="s">
        <v>1098</v>
      </c>
      <c r="T501" t="s">
        <v>1095</v>
      </c>
    </row>
    <row r="502" spans="1:20" x14ac:dyDescent="0.3">
      <c r="L502" s="10"/>
      <c r="P502" s="10"/>
    </row>
    <row r="503" spans="1:20" x14ac:dyDescent="0.3">
      <c r="L503" s="10"/>
      <c r="P503" s="10"/>
    </row>
    <row r="504" spans="1:20" x14ac:dyDescent="0.3">
      <c r="L504" s="10"/>
      <c r="P504" s="10"/>
    </row>
    <row r="505" spans="1:20" x14ac:dyDescent="0.3">
      <c r="L505" s="10"/>
      <c r="P505" s="10"/>
    </row>
    <row r="506" spans="1:20" x14ac:dyDescent="0.3">
      <c r="L506" s="10"/>
      <c r="P506" s="10"/>
    </row>
    <row r="507" spans="1:20" x14ac:dyDescent="0.3">
      <c r="L507" s="10"/>
      <c r="P507" s="10"/>
    </row>
    <row r="508" spans="1:20" x14ac:dyDescent="0.3">
      <c r="L508" s="10"/>
      <c r="P508" s="10"/>
    </row>
    <row r="509" spans="1:20" x14ac:dyDescent="0.3">
      <c r="L509" s="10"/>
      <c r="P509" s="10"/>
    </row>
    <row r="510" spans="1:20" x14ac:dyDescent="0.3">
      <c r="L510" s="10"/>
      <c r="P510" s="10"/>
    </row>
    <row r="511" spans="1:20" x14ac:dyDescent="0.3">
      <c r="L511" s="10"/>
      <c r="P511" s="10"/>
    </row>
    <row r="512" spans="1:20" x14ac:dyDescent="0.3">
      <c r="L512" s="10"/>
      <c r="P512" s="10"/>
    </row>
    <row r="513" spans="12:16" x14ac:dyDescent="0.3">
      <c r="L513" s="10"/>
      <c r="P513" s="10"/>
    </row>
    <row r="514" spans="12:16" x14ac:dyDescent="0.3">
      <c r="L514" s="10"/>
      <c r="P514" s="10"/>
    </row>
    <row r="515" spans="12:16" x14ac:dyDescent="0.3">
      <c r="L515" s="10"/>
      <c r="P515" s="10"/>
    </row>
    <row r="516" spans="12:16" x14ac:dyDescent="0.3">
      <c r="L516" s="10"/>
      <c r="P516" s="10"/>
    </row>
    <row r="517" spans="12:16" x14ac:dyDescent="0.3">
      <c r="L517" s="10"/>
      <c r="P517" s="10"/>
    </row>
    <row r="518" spans="12:16" x14ac:dyDescent="0.3">
      <c r="L518" s="10"/>
      <c r="P518" s="10"/>
    </row>
    <row r="519" spans="12:16" x14ac:dyDescent="0.3">
      <c r="L519" s="10"/>
      <c r="P519" s="10"/>
    </row>
    <row r="520" spans="12:16" x14ac:dyDescent="0.3">
      <c r="L520" s="10"/>
      <c r="P520" s="10"/>
    </row>
    <row r="521" spans="12:16" x14ac:dyDescent="0.3">
      <c r="L521" s="10"/>
      <c r="P521" s="10"/>
    </row>
    <row r="522" spans="12:16" x14ac:dyDescent="0.3">
      <c r="L522" s="10"/>
      <c r="P522" s="10"/>
    </row>
    <row r="523" spans="12:16" x14ac:dyDescent="0.3">
      <c r="L523" s="10"/>
      <c r="P523" s="10"/>
    </row>
    <row r="524" spans="12:16" x14ac:dyDescent="0.3">
      <c r="L524" s="10"/>
      <c r="P524" s="10"/>
    </row>
    <row r="525" spans="12:16" x14ac:dyDescent="0.3">
      <c r="L525" s="10"/>
      <c r="P525" s="10"/>
    </row>
    <row r="526" spans="12:16" x14ac:dyDescent="0.3">
      <c r="L526" s="10"/>
      <c r="P526" s="10"/>
    </row>
    <row r="527" spans="12:16" x14ac:dyDescent="0.3">
      <c r="L527" s="10"/>
      <c r="P527" s="10"/>
    </row>
    <row r="528" spans="12:16" x14ac:dyDescent="0.3">
      <c r="L528" s="10"/>
      <c r="P528" s="10"/>
    </row>
    <row r="529" spans="12:16" x14ac:dyDescent="0.3">
      <c r="L529" s="10"/>
      <c r="P529" s="10"/>
    </row>
    <row r="530" spans="12:16" x14ac:dyDescent="0.3">
      <c r="L530" s="10"/>
      <c r="P530" s="10"/>
    </row>
    <row r="531" spans="12:16" x14ac:dyDescent="0.3">
      <c r="L531" s="10"/>
      <c r="P531" s="10"/>
    </row>
    <row r="532" spans="12:16" x14ac:dyDescent="0.3">
      <c r="L532" s="10"/>
      <c r="P532" s="10"/>
    </row>
    <row r="533" spans="12:16" x14ac:dyDescent="0.3">
      <c r="L533" s="10"/>
      <c r="P533" s="10"/>
    </row>
    <row r="534" spans="12:16" x14ac:dyDescent="0.3">
      <c r="L534" s="10"/>
      <c r="P534" s="10"/>
    </row>
    <row r="535" spans="12:16" x14ac:dyDescent="0.3">
      <c r="L535" s="10"/>
      <c r="P535" s="10"/>
    </row>
    <row r="536" spans="12:16" x14ac:dyDescent="0.3">
      <c r="L536" s="10"/>
      <c r="P536" s="10"/>
    </row>
    <row r="537" spans="12:16" x14ac:dyDescent="0.3">
      <c r="L537" s="10"/>
      <c r="P537" s="10"/>
    </row>
    <row r="538" spans="12:16" x14ac:dyDescent="0.3">
      <c r="L538" s="10"/>
      <c r="P538" s="10"/>
    </row>
    <row r="539" spans="12:16" x14ac:dyDescent="0.3">
      <c r="L539" s="10"/>
      <c r="P539" s="10"/>
    </row>
    <row r="540" spans="12:16" x14ac:dyDescent="0.3">
      <c r="L540" s="10"/>
      <c r="P540" s="10"/>
    </row>
    <row r="541" spans="12:16" x14ac:dyDescent="0.3">
      <c r="L541" s="10"/>
      <c r="P541" s="10"/>
    </row>
    <row r="542" spans="12:16" x14ac:dyDescent="0.3">
      <c r="L542" s="10"/>
      <c r="P542" s="10"/>
    </row>
    <row r="543" spans="12:16" x14ac:dyDescent="0.3">
      <c r="L543" s="10"/>
      <c r="P543" s="10"/>
    </row>
    <row r="544" spans="12:16" x14ac:dyDescent="0.3">
      <c r="L544" s="10"/>
      <c r="P544" s="10"/>
    </row>
    <row r="545" spans="12:16" x14ac:dyDescent="0.3">
      <c r="L545" s="10"/>
      <c r="P545" s="10"/>
    </row>
    <row r="546" spans="12:16" x14ac:dyDescent="0.3">
      <c r="L546" s="10"/>
      <c r="P546" s="10"/>
    </row>
    <row r="547" spans="12:16" x14ac:dyDescent="0.3">
      <c r="L547" s="10"/>
      <c r="P547" s="10"/>
    </row>
    <row r="548" spans="12:16" x14ac:dyDescent="0.3">
      <c r="L548" s="10"/>
      <c r="P548" s="10"/>
    </row>
    <row r="549" spans="12:16" x14ac:dyDescent="0.3">
      <c r="L549" s="10"/>
      <c r="P549" s="10"/>
    </row>
    <row r="550" spans="12:16" x14ac:dyDescent="0.3">
      <c r="L550" s="10"/>
      <c r="P550" s="10"/>
    </row>
    <row r="551" spans="12:16" x14ac:dyDescent="0.3">
      <c r="L551" s="10"/>
      <c r="P551" s="10"/>
    </row>
    <row r="552" spans="12:16" x14ac:dyDescent="0.3">
      <c r="L552" s="10"/>
      <c r="P552" s="10"/>
    </row>
    <row r="553" spans="12:16" x14ac:dyDescent="0.3">
      <c r="L553" s="10"/>
      <c r="P553" s="10"/>
    </row>
    <row r="554" spans="12:16" x14ac:dyDescent="0.3">
      <c r="L554" s="10"/>
      <c r="P554" s="10"/>
    </row>
    <row r="555" spans="12:16" x14ac:dyDescent="0.3">
      <c r="L555" s="10"/>
      <c r="P555" s="10"/>
    </row>
    <row r="556" spans="12:16" x14ac:dyDescent="0.3">
      <c r="L556" s="10"/>
      <c r="P556" s="10"/>
    </row>
    <row r="557" spans="12:16" x14ac:dyDescent="0.3">
      <c r="L557" s="10"/>
      <c r="P557" s="10"/>
    </row>
    <row r="558" spans="12:16" x14ac:dyDescent="0.3">
      <c r="L558" s="10"/>
      <c r="P558" s="10"/>
    </row>
    <row r="559" spans="12:16" x14ac:dyDescent="0.3">
      <c r="L559" s="10"/>
      <c r="P559" s="10"/>
    </row>
    <row r="560" spans="12:16" x14ac:dyDescent="0.3">
      <c r="L560" s="10"/>
      <c r="P560" s="10"/>
    </row>
    <row r="561" spans="12:16" x14ac:dyDescent="0.3">
      <c r="L561" s="10"/>
      <c r="P561" s="10"/>
    </row>
    <row r="562" spans="12:16" x14ac:dyDescent="0.3">
      <c r="L562" s="10"/>
      <c r="P562" s="10"/>
    </row>
    <row r="563" spans="12:16" x14ac:dyDescent="0.3">
      <c r="L563" s="10"/>
      <c r="P563" s="10"/>
    </row>
    <row r="564" spans="12:16" x14ac:dyDescent="0.3">
      <c r="L564" s="10"/>
      <c r="P564" s="10"/>
    </row>
    <row r="565" spans="12:16" x14ac:dyDescent="0.3">
      <c r="L565" s="10"/>
      <c r="P565" s="10"/>
    </row>
    <row r="566" spans="12:16" x14ac:dyDescent="0.3">
      <c r="L566" s="10"/>
      <c r="P566" s="10"/>
    </row>
    <row r="567" spans="12:16" x14ac:dyDescent="0.3">
      <c r="L567" s="10"/>
      <c r="P567" s="10"/>
    </row>
    <row r="568" spans="12:16" x14ac:dyDescent="0.3">
      <c r="L568" s="10"/>
      <c r="P568" s="10"/>
    </row>
    <row r="569" spans="12:16" x14ac:dyDescent="0.3">
      <c r="L569" s="10"/>
      <c r="P569" s="10"/>
    </row>
    <row r="570" spans="12:16" x14ac:dyDescent="0.3">
      <c r="L570" s="10"/>
      <c r="P570" s="10"/>
    </row>
    <row r="571" spans="12:16" x14ac:dyDescent="0.3">
      <c r="L571" s="10"/>
      <c r="P571" s="10"/>
    </row>
    <row r="572" spans="12:16" x14ac:dyDescent="0.3">
      <c r="L572" s="10"/>
      <c r="P572" s="10"/>
    </row>
    <row r="573" spans="12:16" x14ac:dyDescent="0.3">
      <c r="L573" s="10"/>
      <c r="P573" s="10"/>
    </row>
    <row r="574" spans="12:16" x14ac:dyDescent="0.3">
      <c r="L574" s="10"/>
      <c r="P574" s="10"/>
    </row>
    <row r="575" spans="12:16" x14ac:dyDescent="0.3">
      <c r="L575" s="10"/>
      <c r="P575" s="10"/>
    </row>
    <row r="576" spans="12:16" x14ac:dyDescent="0.3">
      <c r="L576" s="10"/>
      <c r="P576" s="10"/>
    </row>
    <row r="577" spans="12:16" x14ac:dyDescent="0.3">
      <c r="L577" s="10"/>
      <c r="P577" s="10"/>
    </row>
    <row r="578" spans="12:16" x14ac:dyDescent="0.3">
      <c r="L578" s="10"/>
      <c r="P578" s="10"/>
    </row>
    <row r="579" spans="12:16" x14ac:dyDescent="0.3">
      <c r="L579" s="10"/>
      <c r="P579" s="10"/>
    </row>
    <row r="580" spans="12:16" x14ac:dyDescent="0.3">
      <c r="L580" s="10"/>
      <c r="P580" s="10"/>
    </row>
    <row r="581" spans="12:16" x14ac:dyDescent="0.3">
      <c r="L581" s="10"/>
      <c r="P581" s="10"/>
    </row>
    <row r="582" spans="12:16" x14ac:dyDescent="0.3">
      <c r="L582" s="10"/>
      <c r="P582" s="10"/>
    </row>
    <row r="583" spans="12:16" x14ac:dyDescent="0.3">
      <c r="L583" s="10"/>
      <c r="P583" s="10"/>
    </row>
    <row r="584" spans="12:16" x14ac:dyDescent="0.3">
      <c r="L584" s="10"/>
      <c r="P584" s="10"/>
    </row>
    <row r="585" spans="12:16" x14ac:dyDescent="0.3">
      <c r="L585" s="10"/>
      <c r="P585" s="10"/>
    </row>
    <row r="586" spans="12:16" x14ac:dyDescent="0.3">
      <c r="L586" s="10"/>
      <c r="P586" s="10"/>
    </row>
    <row r="587" spans="12:16" x14ac:dyDescent="0.3">
      <c r="L587" s="10"/>
      <c r="P587" s="10"/>
    </row>
    <row r="588" spans="12:16" x14ac:dyDescent="0.3">
      <c r="L588" s="10"/>
      <c r="P588" s="10"/>
    </row>
    <row r="589" spans="12:16" x14ac:dyDescent="0.3">
      <c r="L589" s="10"/>
      <c r="P589" s="10"/>
    </row>
    <row r="590" spans="12:16" x14ac:dyDescent="0.3">
      <c r="L590" s="10"/>
      <c r="P590" s="10"/>
    </row>
    <row r="591" spans="12:16" x14ac:dyDescent="0.3">
      <c r="L591" s="10"/>
      <c r="P591" s="10"/>
    </row>
    <row r="592" spans="12:16" x14ac:dyDescent="0.3">
      <c r="L592" s="10"/>
      <c r="P592" s="10"/>
    </row>
    <row r="593" spans="12:16" x14ac:dyDescent="0.3">
      <c r="L593" s="10"/>
      <c r="P593" s="10"/>
    </row>
    <row r="594" spans="12:16" x14ac:dyDescent="0.3">
      <c r="L594" s="10"/>
      <c r="P594" s="10"/>
    </row>
    <row r="595" spans="12:16" x14ac:dyDescent="0.3">
      <c r="L595" s="10"/>
      <c r="P595" s="10"/>
    </row>
    <row r="596" spans="12:16" x14ac:dyDescent="0.3">
      <c r="L596" s="10"/>
      <c r="P596" s="10"/>
    </row>
    <row r="597" spans="12:16" x14ac:dyDescent="0.3">
      <c r="L597" s="10"/>
      <c r="P597" s="10"/>
    </row>
    <row r="598" spans="12:16" x14ac:dyDescent="0.3">
      <c r="L598" s="10"/>
      <c r="P598" s="10"/>
    </row>
    <row r="599" spans="12:16" x14ac:dyDescent="0.3">
      <c r="L599" s="10"/>
      <c r="P599" s="10"/>
    </row>
    <row r="600" spans="12:16" x14ac:dyDescent="0.3">
      <c r="L600" s="10"/>
      <c r="P600" s="10"/>
    </row>
    <row r="601" spans="12:16" x14ac:dyDescent="0.3">
      <c r="L601" s="10"/>
      <c r="P601" s="10"/>
    </row>
    <row r="602" spans="12:16" x14ac:dyDescent="0.3">
      <c r="L602" s="10"/>
      <c r="P602" s="10"/>
    </row>
    <row r="603" spans="12:16" x14ac:dyDescent="0.3">
      <c r="L603" s="10"/>
      <c r="P603" s="10"/>
    </row>
    <row r="604" spans="12:16" x14ac:dyDescent="0.3">
      <c r="L604" s="10"/>
      <c r="P604" s="10"/>
    </row>
    <row r="605" spans="12:16" x14ac:dyDescent="0.3">
      <c r="L605" s="10"/>
      <c r="P605" s="10"/>
    </row>
    <row r="606" spans="12:16" x14ac:dyDescent="0.3">
      <c r="L606" s="10"/>
      <c r="P606" s="10"/>
    </row>
    <row r="607" spans="12:16" x14ac:dyDescent="0.3">
      <c r="L607" s="10"/>
      <c r="P607" s="10"/>
    </row>
    <row r="608" spans="12:16" x14ac:dyDescent="0.3">
      <c r="L608" s="10"/>
      <c r="P608" s="10"/>
    </row>
    <row r="609" spans="12:16" x14ac:dyDescent="0.3">
      <c r="L609" s="10"/>
      <c r="P609" s="10"/>
    </row>
    <row r="610" spans="12:16" x14ac:dyDescent="0.3">
      <c r="L610" s="10"/>
      <c r="P610" s="10"/>
    </row>
    <row r="611" spans="12:16" x14ac:dyDescent="0.3">
      <c r="L611" s="10"/>
      <c r="P611" s="10"/>
    </row>
    <row r="612" spans="12:16" x14ac:dyDescent="0.3">
      <c r="L612" s="10"/>
      <c r="P612" s="10"/>
    </row>
    <row r="613" spans="12:16" x14ac:dyDescent="0.3">
      <c r="L613" s="10"/>
      <c r="P613" s="10"/>
    </row>
    <row r="614" spans="12:16" x14ac:dyDescent="0.3">
      <c r="L614" s="10"/>
      <c r="P614" s="10"/>
    </row>
    <row r="615" spans="12:16" x14ac:dyDescent="0.3">
      <c r="L615" s="10"/>
      <c r="P615" s="10"/>
    </row>
    <row r="616" spans="12:16" x14ac:dyDescent="0.3">
      <c r="L616" s="10"/>
      <c r="P616" s="10"/>
    </row>
    <row r="617" spans="12:16" x14ac:dyDescent="0.3">
      <c r="L617" s="10"/>
      <c r="P617" s="10"/>
    </row>
    <row r="618" spans="12:16" x14ac:dyDescent="0.3">
      <c r="L618" s="10"/>
      <c r="P618" s="10"/>
    </row>
    <row r="619" spans="12:16" x14ac:dyDescent="0.3">
      <c r="L619" s="10"/>
      <c r="P619" s="10"/>
    </row>
    <row r="620" spans="12:16" x14ac:dyDescent="0.3">
      <c r="L620" s="10"/>
      <c r="P620" s="10"/>
    </row>
    <row r="621" spans="12:16" x14ac:dyDescent="0.3">
      <c r="L621" s="10"/>
      <c r="P621" s="10"/>
    </row>
    <row r="622" spans="12:16" x14ac:dyDescent="0.3">
      <c r="L622" s="10"/>
      <c r="P622" s="10"/>
    </row>
    <row r="623" spans="12:16" x14ac:dyDescent="0.3">
      <c r="L623" s="10"/>
      <c r="P623" s="10"/>
    </row>
    <row r="624" spans="12:16" x14ac:dyDescent="0.3">
      <c r="L624" s="10"/>
      <c r="P624" s="10"/>
    </row>
    <row r="625" spans="12:16" x14ac:dyDescent="0.3">
      <c r="L625" s="10"/>
      <c r="P625" s="10"/>
    </row>
    <row r="626" spans="12:16" x14ac:dyDescent="0.3">
      <c r="L626" s="10"/>
      <c r="P626" s="10"/>
    </row>
    <row r="627" spans="12:16" x14ac:dyDescent="0.3">
      <c r="L627" s="10"/>
      <c r="P627" s="10"/>
    </row>
    <row r="628" spans="12:16" x14ac:dyDescent="0.3">
      <c r="L628" s="10"/>
      <c r="P628" s="10"/>
    </row>
    <row r="629" spans="12:16" x14ac:dyDescent="0.3">
      <c r="L629" s="10"/>
      <c r="P629" s="10"/>
    </row>
    <row r="630" spans="12:16" x14ac:dyDescent="0.3">
      <c r="L630" s="10"/>
      <c r="P630" s="10"/>
    </row>
    <row r="631" spans="12:16" x14ac:dyDescent="0.3">
      <c r="L631" s="10"/>
      <c r="P631" s="10"/>
    </row>
    <row r="632" spans="12:16" x14ac:dyDescent="0.3">
      <c r="L632" s="10"/>
      <c r="P632" s="10"/>
    </row>
    <row r="633" spans="12:16" x14ac:dyDescent="0.3">
      <c r="L633" s="10"/>
      <c r="P633" s="10"/>
    </row>
    <row r="634" spans="12:16" x14ac:dyDescent="0.3">
      <c r="L634" s="10"/>
      <c r="P634" s="10"/>
    </row>
    <row r="635" spans="12:16" x14ac:dyDescent="0.3">
      <c r="L635" s="10"/>
      <c r="P635" s="10"/>
    </row>
    <row r="636" spans="12:16" x14ac:dyDescent="0.3">
      <c r="L636" s="10"/>
      <c r="P636" s="10"/>
    </row>
    <row r="637" spans="12:16" x14ac:dyDescent="0.3">
      <c r="L637" s="10"/>
      <c r="P637" s="10"/>
    </row>
    <row r="638" spans="12:16" x14ac:dyDescent="0.3">
      <c r="L638" s="10"/>
      <c r="P638" s="10"/>
    </row>
    <row r="639" spans="12:16" x14ac:dyDescent="0.3">
      <c r="L639" s="10"/>
      <c r="P639" s="10"/>
    </row>
    <row r="640" spans="12:16" x14ac:dyDescent="0.3">
      <c r="L640" s="10"/>
      <c r="P640" s="10"/>
    </row>
    <row r="641" spans="12:16" x14ac:dyDescent="0.3">
      <c r="L641" s="10"/>
      <c r="P641" s="10"/>
    </row>
    <row r="642" spans="12:16" x14ac:dyDescent="0.3">
      <c r="L642" s="10"/>
      <c r="P642" s="10"/>
    </row>
    <row r="643" spans="12:16" x14ac:dyDescent="0.3">
      <c r="L643" s="10"/>
      <c r="P643" s="10"/>
    </row>
    <row r="644" spans="12:16" x14ac:dyDescent="0.3">
      <c r="L644" s="10"/>
      <c r="P644" s="10"/>
    </row>
    <row r="645" spans="12:16" x14ac:dyDescent="0.3">
      <c r="L645" s="10"/>
      <c r="P645" s="10"/>
    </row>
    <row r="646" spans="12:16" x14ac:dyDescent="0.3">
      <c r="L646" s="10"/>
      <c r="P646" s="10"/>
    </row>
    <row r="647" spans="12:16" x14ac:dyDescent="0.3">
      <c r="L647" s="10"/>
      <c r="P647" s="10"/>
    </row>
    <row r="648" spans="12:16" x14ac:dyDescent="0.3">
      <c r="L648" s="10"/>
      <c r="P648" s="10"/>
    </row>
    <row r="649" spans="12:16" x14ac:dyDescent="0.3">
      <c r="L649" s="10"/>
      <c r="P649" s="10"/>
    </row>
    <row r="650" spans="12:16" x14ac:dyDescent="0.3">
      <c r="L650" s="10"/>
      <c r="P650" s="10"/>
    </row>
    <row r="651" spans="12:16" x14ac:dyDescent="0.3">
      <c r="L651" s="10"/>
      <c r="P651" s="10"/>
    </row>
    <row r="652" spans="12:16" x14ac:dyDescent="0.3">
      <c r="L652" s="10"/>
      <c r="P652" s="10"/>
    </row>
    <row r="653" spans="12:16" x14ac:dyDescent="0.3">
      <c r="L653" s="10"/>
      <c r="P653" s="10"/>
    </row>
    <row r="654" spans="12:16" x14ac:dyDescent="0.3">
      <c r="L654" s="10"/>
      <c r="P654" s="10"/>
    </row>
    <row r="655" spans="12:16" x14ac:dyDescent="0.3">
      <c r="L655" s="10"/>
      <c r="P655" s="10"/>
    </row>
    <row r="656" spans="12:16" x14ac:dyDescent="0.3">
      <c r="L656" s="10"/>
      <c r="P656" s="10"/>
    </row>
    <row r="657" spans="12:16" x14ac:dyDescent="0.3">
      <c r="L657" s="10"/>
      <c r="P657" s="10"/>
    </row>
    <row r="658" spans="12:16" x14ac:dyDescent="0.3">
      <c r="L658" s="10"/>
      <c r="P658" s="10"/>
    </row>
    <row r="659" spans="12:16" x14ac:dyDescent="0.3">
      <c r="L659" s="10"/>
      <c r="P659" s="10"/>
    </row>
    <row r="660" spans="12:16" x14ac:dyDescent="0.3">
      <c r="L660" s="10"/>
      <c r="P660" s="10"/>
    </row>
    <row r="661" spans="12:16" x14ac:dyDescent="0.3">
      <c r="L661" s="10"/>
      <c r="P661" s="10"/>
    </row>
    <row r="662" spans="12:16" x14ac:dyDescent="0.3">
      <c r="L662" s="10"/>
      <c r="P662" s="10"/>
    </row>
    <row r="663" spans="12:16" x14ac:dyDescent="0.3">
      <c r="L663" s="10"/>
      <c r="P663" s="10"/>
    </row>
    <row r="664" spans="12:16" x14ac:dyDescent="0.3">
      <c r="L664" s="10"/>
      <c r="P664" s="10"/>
    </row>
    <row r="665" spans="12:16" x14ac:dyDescent="0.3">
      <c r="L665" s="10"/>
      <c r="P665" s="10"/>
    </row>
    <row r="666" spans="12:16" x14ac:dyDescent="0.3">
      <c r="L666" s="10"/>
      <c r="P666" s="10"/>
    </row>
    <row r="667" spans="12:16" x14ac:dyDescent="0.3">
      <c r="L667" s="10"/>
      <c r="P667" s="10"/>
    </row>
    <row r="668" spans="12:16" x14ac:dyDescent="0.3">
      <c r="L668" s="10"/>
      <c r="P668" s="10"/>
    </row>
    <row r="669" spans="12:16" x14ac:dyDescent="0.3">
      <c r="L669" s="10"/>
      <c r="P669" s="10"/>
    </row>
    <row r="670" spans="12:16" x14ac:dyDescent="0.3">
      <c r="L670" s="10"/>
      <c r="P670" s="10"/>
    </row>
    <row r="671" spans="12:16" x14ac:dyDescent="0.3">
      <c r="L671" s="10"/>
      <c r="P671" s="10"/>
    </row>
    <row r="672" spans="12:16" x14ac:dyDescent="0.3">
      <c r="L672" s="10"/>
      <c r="P672" s="10"/>
    </row>
    <row r="673" spans="12:16" x14ac:dyDescent="0.3">
      <c r="L673" s="10"/>
      <c r="P673" s="10"/>
    </row>
    <row r="674" spans="12:16" x14ac:dyDescent="0.3">
      <c r="L674" s="10"/>
      <c r="P674" s="10"/>
    </row>
    <row r="675" spans="12:16" x14ac:dyDescent="0.3">
      <c r="L675" s="10"/>
      <c r="P675" s="10"/>
    </row>
    <row r="676" spans="12:16" x14ac:dyDescent="0.3">
      <c r="L676" s="10"/>
      <c r="P676" s="10"/>
    </row>
    <row r="677" spans="12:16" x14ac:dyDescent="0.3">
      <c r="L677" s="10"/>
      <c r="P677" s="10"/>
    </row>
    <row r="678" spans="12:16" x14ac:dyDescent="0.3">
      <c r="L678" s="10"/>
      <c r="P678" s="10"/>
    </row>
    <row r="679" spans="12:16" x14ac:dyDescent="0.3">
      <c r="L679" s="10"/>
      <c r="P679" s="10"/>
    </row>
    <row r="680" spans="12:16" x14ac:dyDescent="0.3">
      <c r="L680" s="10"/>
      <c r="P680" s="10"/>
    </row>
    <row r="681" spans="12:16" x14ac:dyDescent="0.3">
      <c r="L681" s="10"/>
      <c r="P681" s="10"/>
    </row>
    <row r="682" spans="12:16" x14ac:dyDescent="0.3">
      <c r="L682" s="10"/>
      <c r="P682" s="10"/>
    </row>
    <row r="683" spans="12:16" x14ac:dyDescent="0.3">
      <c r="L683" s="10"/>
      <c r="P683" s="10"/>
    </row>
    <row r="684" spans="12:16" x14ac:dyDescent="0.3">
      <c r="L684" s="10"/>
      <c r="P684" s="10"/>
    </row>
    <row r="685" spans="12:16" x14ac:dyDescent="0.3">
      <c r="L685" s="10"/>
      <c r="P685" s="10"/>
    </row>
    <row r="686" spans="12:16" x14ac:dyDescent="0.3">
      <c r="L686" s="10"/>
      <c r="P686" s="10"/>
    </row>
    <row r="687" spans="12:16" x14ac:dyDescent="0.3">
      <c r="L687" s="10"/>
      <c r="P687" s="10"/>
    </row>
    <row r="688" spans="12:16" x14ac:dyDescent="0.3">
      <c r="L688" s="10"/>
      <c r="P688" s="10"/>
    </row>
    <row r="689" spans="12:16" x14ac:dyDescent="0.3">
      <c r="L689" s="10"/>
      <c r="P689" s="10"/>
    </row>
    <row r="690" spans="12:16" x14ac:dyDescent="0.3">
      <c r="L690" s="10"/>
      <c r="P690" s="10"/>
    </row>
    <row r="691" spans="12:16" x14ac:dyDescent="0.3">
      <c r="L691" s="10"/>
      <c r="P691" s="10"/>
    </row>
    <row r="692" spans="12:16" x14ac:dyDescent="0.3">
      <c r="L692" s="10"/>
      <c r="P692" s="10"/>
    </row>
    <row r="693" spans="12:16" x14ac:dyDescent="0.3">
      <c r="L693" s="10"/>
      <c r="P693" s="10"/>
    </row>
    <row r="694" spans="12:16" x14ac:dyDescent="0.3">
      <c r="L694" s="10"/>
      <c r="P694" s="10"/>
    </row>
    <row r="695" spans="12:16" x14ac:dyDescent="0.3">
      <c r="L695" s="10"/>
      <c r="P695" s="10"/>
    </row>
    <row r="696" spans="12:16" x14ac:dyDescent="0.3">
      <c r="L696" s="10"/>
      <c r="P696" s="10"/>
    </row>
    <row r="697" spans="12:16" x14ac:dyDescent="0.3">
      <c r="L697" s="10"/>
      <c r="P697" s="10"/>
    </row>
    <row r="698" spans="12:16" x14ac:dyDescent="0.3">
      <c r="L698" s="10"/>
      <c r="P698" s="10"/>
    </row>
    <row r="699" spans="12:16" x14ac:dyDescent="0.3">
      <c r="L699" s="10"/>
      <c r="P699" s="10"/>
    </row>
    <row r="700" spans="12:16" x14ac:dyDescent="0.3">
      <c r="L700" s="10"/>
      <c r="P700" s="10"/>
    </row>
    <row r="701" spans="12:16" x14ac:dyDescent="0.3">
      <c r="L701" s="10"/>
      <c r="P701" s="10"/>
    </row>
    <row r="702" spans="12:16" x14ac:dyDescent="0.3">
      <c r="L702" s="10"/>
      <c r="P702" s="10"/>
    </row>
    <row r="703" spans="12:16" x14ac:dyDescent="0.3">
      <c r="L703" s="10"/>
      <c r="P703" s="10"/>
    </row>
    <row r="704" spans="12:16" x14ac:dyDescent="0.3">
      <c r="L704" s="10"/>
      <c r="P704" s="10"/>
    </row>
    <row r="705" spans="12:16" x14ac:dyDescent="0.3">
      <c r="L705" s="10"/>
      <c r="P705" s="10"/>
    </row>
    <row r="706" spans="12:16" x14ac:dyDescent="0.3">
      <c r="L706" s="10"/>
      <c r="P706" s="10"/>
    </row>
    <row r="707" spans="12:16" x14ac:dyDescent="0.3">
      <c r="L707" s="10"/>
      <c r="P707" s="10"/>
    </row>
    <row r="708" spans="12:16" x14ac:dyDescent="0.3">
      <c r="L708" s="10"/>
      <c r="P708" s="10"/>
    </row>
    <row r="709" spans="12:16" x14ac:dyDescent="0.3">
      <c r="L709" s="10"/>
      <c r="P709" s="10"/>
    </row>
    <row r="710" spans="12:16" x14ac:dyDescent="0.3">
      <c r="L710" s="10"/>
      <c r="P710" s="10"/>
    </row>
    <row r="711" spans="12:16" x14ac:dyDescent="0.3">
      <c r="L711" s="10"/>
      <c r="P711" s="10"/>
    </row>
    <row r="712" spans="12:16" x14ac:dyDescent="0.3">
      <c r="L712" s="10"/>
      <c r="P712" s="10"/>
    </row>
    <row r="713" spans="12:16" x14ac:dyDescent="0.3">
      <c r="L713" s="10"/>
      <c r="P713" s="10"/>
    </row>
    <row r="714" spans="12:16" x14ac:dyDescent="0.3">
      <c r="L714" s="10"/>
      <c r="P714" s="10"/>
    </row>
    <row r="715" spans="12:16" x14ac:dyDescent="0.3">
      <c r="L715" s="10"/>
      <c r="P715" s="10"/>
    </row>
    <row r="716" spans="12:16" x14ac:dyDescent="0.3">
      <c r="L716" s="10"/>
      <c r="P716" s="10"/>
    </row>
    <row r="717" spans="12:16" x14ac:dyDescent="0.3">
      <c r="L717" s="10"/>
      <c r="P717" s="10"/>
    </row>
    <row r="718" spans="12:16" x14ac:dyDescent="0.3">
      <c r="L718" s="10"/>
      <c r="P718" s="10"/>
    </row>
    <row r="719" spans="12:16" x14ac:dyDescent="0.3">
      <c r="L719" s="10"/>
      <c r="P719" s="10"/>
    </row>
    <row r="720" spans="12:16" x14ac:dyDescent="0.3">
      <c r="L720" s="10"/>
      <c r="P720" s="10"/>
    </row>
    <row r="721" spans="12:16" x14ac:dyDescent="0.3">
      <c r="L721" s="10"/>
      <c r="P721" s="10"/>
    </row>
    <row r="722" spans="12:16" x14ac:dyDescent="0.3">
      <c r="L722" s="10"/>
      <c r="P722" s="10"/>
    </row>
    <row r="723" spans="12:16" x14ac:dyDescent="0.3">
      <c r="L723" s="10"/>
      <c r="P723" s="10"/>
    </row>
    <row r="724" spans="12:16" x14ac:dyDescent="0.3">
      <c r="L724" s="10"/>
      <c r="P724" s="10"/>
    </row>
    <row r="725" spans="12:16" x14ac:dyDescent="0.3">
      <c r="L725" s="10"/>
      <c r="P725" s="10"/>
    </row>
    <row r="726" spans="12:16" x14ac:dyDescent="0.3">
      <c r="L726" s="10"/>
      <c r="P726" s="10"/>
    </row>
    <row r="727" spans="12:16" x14ac:dyDescent="0.3">
      <c r="L727" s="10"/>
      <c r="P727" s="10"/>
    </row>
    <row r="728" spans="12:16" x14ac:dyDescent="0.3">
      <c r="L728" s="10"/>
      <c r="P728" s="10"/>
    </row>
    <row r="729" spans="12:16" x14ac:dyDescent="0.3">
      <c r="L729" s="10"/>
      <c r="P729" s="10"/>
    </row>
    <row r="730" spans="12:16" x14ac:dyDescent="0.3">
      <c r="L730" s="10"/>
      <c r="P730" s="10"/>
    </row>
    <row r="731" spans="12:16" x14ac:dyDescent="0.3">
      <c r="L731" s="10"/>
      <c r="P731" s="10"/>
    </row>
    <row r="732" spans="12:16" x14ac:dyDescent="0.3">
      <c r="L732" s="10"/>
      <c r="P732" s="10"/>
    </row>
    <row r="733" spans="12:16" x14ac:dyDescent="0.3">
      <c r="L733" s="10"/>
      <c r="P733" s="10"/>
    </row>
    <row r="734" spans="12:16" x14ac:dyDescent="0.3">
      <c r="L734" s="10"/>
      <c r="P734" s="10"/>
    </row>
    <row r="735" spans="12:16" x14ac:dyDescent="0.3">
      <c r="L735" s="10"/>
      <c r="P735" s="10"/>
    </row>
    <row r="736" spans="12:16" x14ac:dyDescent="0.3">
      <c r="L736" s="10"/>
      <c r="P736" s="10"/>
    </row>
    <row r="737" spans="12:16" x14ac:dyDescent="0.3">
      <c r="L737" s="10"/>
      <c r="P737" s="10"/>
    </row>
    <row r="738" spans="12:16" x14ac:dyDescent="0.3">
      <c r="L738" s="10"/>
      <c r="P738" s="10"/>
    </row>
    <row r="739" spans="12:16" x14ac:dyDescent="0.3">
      <c r="L739" s="10"/>
      <c r="P739" s="10"/>
    </row>
    <row r="740" spans="12:16" x14ac:dyDescent="0.3">
      <c r="L740" s="10"/>
      <c r="P740" s="10"/>
    </row>
    <row r="741" spans="12:16" x14ac:dyDescent="0.3">
      <c r="L741" s="10"/>
      <c r="P741" s="10"/>
    </row>
    <row r="742" spans="12:16" x14ac:dyDescent="0.3">
      <c r="L742" s="10"/>
      <c r="P742" s="10"/>
    </row>
    <row r="743" spans="12:16" x14ac:dyDescent="0.3">
      <c r="L743" s="10"/>
      <c r="P743" s="10"/>
    </row>
    <row r="744" spans="12:16" x14ac:dyDescent="0.3">
      <c r="L744" s="10"/>
      <c r="P744" s="10"/>
    </row>
    <row r="745" spans="12:16" x14ac:dyDescent="0.3">
      <c r="L745" s="10"/>
      <c r="P745" s="10"/>
    </row>
    <row r="746" spans="12:16" x14ac:dyDescent="0.3">
      <c r="L746" s="10"/>
      <c r="P746" s="10"/>
    </row>
    <row r="747" spans="12:16" x14ac:dyDescent="0.3">
      <c r="L747" s="10"/>
      <c r="P747" s="10"/>
    </row>
    <row r="748" spans="12:16" x14ac:dyDescent="0.3">
      <c r="L748" s="10"/>
      <c r="P748" s="10"/>
    </row>
    <row r="749" spans="12:16" x14ac:dyDescent="0.3">
      <c r="L749" s="10"/>
      <c r="P749" s="10"/>
    </row>
    <row r="750" spans="12:16" x14ac:dyDescent="0.3">
      <c r="L750" s="10"/>
      <c r="P750" s="10"/>
    </row>
    <row r="751" spans="12:16" x14ac:dyDescent="0.3">
      <c r="L751" s="10"/>
      <c r="P751" s="10"/>
    </row>
    <row r="752" spans="12:16" x14ac:dyDescent="0.3">
      <c r="L752" s="10"/>
      <c r="P752" s="10"/>
    </row>
    <row r="753" spans="12:16" x14ac:dyDescent="0.3">
      <c r="L753" s="10"/>
      <c r="P753" s="10"/>
    </row>
    <row r="754" spans="12:16" x14ac:dyDescent="0.3">
      <c r="L754" s="10"/>
      <c r="P754" s="10"/>
    </row>
    <row r="755" spans="12:16" x14ac:dyDescent="0.3">
      <c r="L755" s="10"/>
      <c r="P755" s="10"/>
    </row>
    <row r="756" spans="12:16" x14ac:dyDescent="0.3">
      <c r="L756" s="10"/>
      <c r="P756" s="10"/>
    </row>
    <row r="757" spans="12:16" x14ac:dyDescent="0.3">
      <c r="L757" s="10"/>
      <c r="P757" s="10"/>
    </row>
    <row r="758" spans="12:16" x14ac:dyDescent="0.3">
      <c r="L758" s="10"/>
      <c r="P758" s="10"/>
    </row>
    <row r="759" spans="12:16" x14ac:dyDescent="0.3">
      <c r="L759" s="10"/>
      <c r="P759" s="10"/>
    </row>
    <row r="760" spans="12:16" x14ac:dyDescent="0.3">
      <c r="L760" s="10"/>
      <c r="P760" s="10"/>
    </row>
    <row r="761" spans="12:16" x14ac:dyDescent="0.3">
      <c r="L761" s="10"/>
      <c r="P761" s="10"/>
    </row>
    <row r="762" spans="12:16" x14ac:dyDescent="0.3">
      <c r="L762" s="10"/>
      <c r="P762" s="10"/>
    </row>
    <row r="763" spans="12:16" x14ac:dyDescent="0.3">
      <c r="L763" s="10"/>
      <c r="P763" s="10"/>
    </row>
    <row r="764" spans="12:16" x14ac:dyDescent="0.3">
      <c r="L764" s="10"/>
      <c r="P764" s="10"/>
    </row>
    <row r="765" spans="12:16" x14ac:dyDescent="0.3">
      <c r="L765" s="10"/>
      <c r="P765" s="10"/>
    </row>
    <row r="766" spans="12:16" x14ac:dyDescent="0.3">
      <c r="L766" s="10"/>
      <c r="P766" s="10"/>
    </row>
    <row r="767" spans="12:16" x14ac:dyDescent="0.3">
      <c r="L767" s="10"/>
      <c r="P767" s="10"/>
    </row>
    <row r="768" spans="12:16" x14ac:dyDescent="0.3">
      <c r="L768" s="10"/>
      <c r="P768" s="10"/>
    </row>
    <row r="769" spans="12:16" x14ac:dyDescent="0.3">
      <c r="L769" s="10"/>
      <c r="P769" s="10"/>
    </row>
    <row r="770" spans="12:16" x14ac:dyDescent="0.3">
      <c r="L770" s="10"/>
      <c r="P770" s="10"/>
    </row>
    <row r="771" spans="12:16" x14ac:dyDescent="0.3">
      <c r="L771" s="10"/>
      <c r="P771" s="10"/>
    </row>
    <row r="772" spans="12:16" x14ac:dyDescent="0.3">
      <c r="L772" s="10"/>
      <c r="P772" s="10"/>
    </row>
    <row r="773" spans="12:16" x14ac:dyDescent="0.3">
      <c r="L773" s="10"/>
      <c r="P773" s="10"/>
    </row>
    <row r="774" spans="12:16" x14ac:dyDescent="0.3">
      <c r="L774" s="10"/>
      <c r="P774" s="10"/>
    </row>
    <row r="775" spans="12:16" x14ac:dyDescent="0.3">
      <c r="L775" s="10"/>
      <c r="P775" s="10"/>
    </row>
    <row r="776" spans="12:16" x14ac:dyDescent="0.3">
      <c r="L776" s="10"/>
      <c r="P776" s="10"/>
    </row>
    <row r="777" spans="12:16" x14ac:dyDescent="0.3">
      <c r="L777" s="10"/>
      <c r="P777" s="10"/>
    </row>
    <row r="778" spans="12:16" x14ac:dyDescent="0.3">
      <c r="L778" s="10"/>
      <c r="P778" s="10"/>
    </row>
    <row r="779" spans="12:16" x14ac:dyDescent="0.3">
      <c r="L779" s="10"/>
      <c r="P779" s="10"/>
    </row>
    <row r="780" spans="12:16" x14ac:dyDescent="0.3">
      <c r="L780" s="10"/>
      <c r="P780" s="10"/>
    </row>
    <row r="781" spans="12:16" x14ac:dyDescent="0.3">
      <c r="L781" s="10"/>
      <c r="P781" s="10"/>
    </row>
    <row r="782" spans="12:16" x14ac:dyDescent="0.3">
      <c r="L782" s="10"/>
      <c r="P782" s="10"/>
    </row>
    <row r="783" spans="12:16" x14ac:dyDescent="0.3">
      <c r="L783" s="10"/>
      <c r="P783" s="10"/>
    </row>
    <row r="784" spans="12:16" x14ac:dyDescent="0.3">
      <c r="L784" s="10"/>
      <c r="P784" s="10"/>
    </row>
    <row r="785" spans="12:16" x14ac:dyDescent="0.3">
      <c r="L785" s="10"/>
      <c r="P785" s="10"/>
    </row>
    <row r="786" spans="12:16" x14ac:dyDescent="0.3">
      <c r="L786" s="10"/>
      <c r="P786" s="10"/>
    </row>
    <row r="787" spans="12:16" x14ac:dyDescent="0.3">
      <c r="L787" s="10"/>
      <c r="P787" s="10"/>
    </row>
    <row r="788" spans="12:16" x14ac:dyDescent="0.3">
      <c r="L788" s="10"/>
      <c r="P788" s="10"/>
    </row>
    <row r="789" spans="12:16" x14ac:dyDescent="0.3">
      <c r="L789" s="10"/>
      <c r="P789" s="10"/>
    </row>
    <row r="790" spans="12:16" x14ac:dyDescent="0.3">
      <c r="L790" s="10"/>
      <c r="P790" s="10"/>
    </row>
    <row r="791" spans="12:16" x14ac:dyDescent="0.3">
      <c r="L791" s="10"/>
      <c r="P791" s="10"/>
    </row>
    <row r="792" spans="12:16" x14ac:dyDescent="0.3">
      <c r="L792" s="10"/>
      <c r="P792" s="10"/>
    </row>
    <row r="793" spans="12:16" x14ac:dyDescent="0.3">
      <c r="L793" s="10"/>
      <c r="P793" s="10"/>
    </row>
    <row r="794" spans="12:16" x14ac:dyDescent="0.3">
      <c r="L794" s="10"/>
      <c r="P794" s="10"/>
    </row>
    <row r="795" spans="12:16" x14ac:dyDescent="0.3">
      <c r="L795" s="10"/>
      <c r="P795" s="10"/>
    </row>
    <row r="796" spans="12:16" x14ac:dyDescent="0.3">
      <c r="L796" s="10"/>
      <c r="P796" s="10"/>
    </row>
    <row r="797" spans="12:16" x14ac:dyDescent="0.3">
      <c r="L797" s="10"/>
      <c r="P797" s="10"/>
    </row>
    <row r="798" spans="12:16" x14ac:dyDescent="0.3">
      <c r="L798" s="10"/>
      <c r="P798" s="10"/>
    </row>
    <row r="799" spans="12:16" x14ac:dyDescent="0.3">
      <c r="L799" s="10"/>
      <c r="P799" s="10"/>
    </row>
    <row r="800" spans="12:16" x14ac:dyDescent="0.3">
      <c r="L800" s="10"/>
      <c r="P800" s="10"/>
    </row>
    <row r="801" spans="12:16" x14ac:dyDescent="0.3">
      <c r="L801" s="10"/>
      <c r="P801" s="10"/>
    </row>
    <row r="802" spans="12:16" x14ac:dyDescent="0.3">
      <c r="L802" s="10"/>
      <c r="P802" s="10"/>
    </row>
    <row r="803" spans="12:16" x14ac:dyDescent="0.3">
      <c r="L803" s="10"/>
      <c r="P803" s="10"/>
    </row>
    <row r="804" spans="12:16" x14ac:dyDescent="0.3">
      <c r="L804" s="10"/>
      <c r="P804" s="10"/>
    </row>
    <row r="805" spans="12:16" x14ac:dyDescent="0.3">
      <c r="L805" s="10"/>
      <c r="P805" s="10"/>
    </row>
    <row r="806" spans="12:16" x14ac:dyDescent="0.3">
      <c r="L806" s="10"/>
      <c r="P806" s="10"/>
    </row>
    <row r="807" spans="12:16" x14ac:dyDescent="0.3">
      <c r="L807" s="10"/>
      <c r="P807" s="10"/>
    </row>
    <row r="808" spans="12:16" x14ac:dyDescent="0.3">
      <c r="L808" s="10"/>
      <c r="P808" s="10"/>
    </row>
    <row r="809" spans="12:16" x14ac:dyDescent="0.3">
      <c r="L809" s="10"/>
      <c r="P809" s="10"/>
    </row>
    <row r="810" spans="12:16" x14ac:dyDescent="0.3">
      <c r="L810" s="10"/>
      <c r="P810" s="10"/>
    </row>
    <row r="811" spans="12:16" x14ac:dyDescent="0.3">
      <c r="L811" s="10"/>
      <c r="P811" s="10"/>
    </row>
    <row r="812" spans="12:16" x14ac:dyDescent="0.3">
      <c r="L812" s="10"/>
      <c r="P812" s="10"/>
    </row>
    <row r="813" spans="12:16" x14ac:dyDescent="0.3">
      <c r="L813" s="10"/>
      <c r="P813" s="10"/>
    </row>
    <row r="814" spans="12:16" x14ac:dyDescent="0.3">
      <c r="L814" s="10"/>
      <c r="P814" s="10"/>
    </row>
    <row r="815" spans="12:16" x14ac:dyDescent="0.3">
      <c r="L815" s="10"/>
      <c r="P815" s="10"/>
    </row>
    <row r="816" spans="12:16" x14ac:dyDescent="0.3">
      <c r="L816" s="10"/>
      <c r="P816" s="10"/>
    </row>
    <row r="817" spans="12:16" x14ac:dyDescent="0.3">
      <c r="L817" s="10"/>
      <c r="P817" s="10"/>
    </row>
    <row r="818" spans="12:16" x14ac:dyDescent="0.3">
      <c r="L818" s="10"/>
      <c r="P818" s="10"/>
    </row>
    <row r="819" spans="12:16" x14ac:dyDescent="0.3">
      <c r="L819" s="10"/>
      <c r="P819" s="10"/>
    </row>
    <row r="820" spans="12:16" x14ac:dyDescent="0.3">
      <c r="L820" s="10"/>
      <c r="P820" s="10"/>
    </row>
    <row r="821" spans="12:16" x14ac:dyDescent="0.3">
      <c r="L821" s="10"/>
      <c r="P821" s="10"/>
    </row>
    <row r="822" spans="12:16" x14ac:dyDescent="0.3">
      <c r="L822" s="10"/>
      <c r="P822" s="10"/>
    </row>
    <row r="823" spans="12:16" x14ac:dyDescent="0.3">
      <c r="L823" s="10"/>
      <c r="P823" s="10"/>
    </row>
    <row r="824" spans="12:16" x14ac:dyDescent="0.3">
      <c r="L824" s="10"/>
      <c r="P824" s="10"/>
    </row>
    <row r="825" spans="12:16" x14ac:dyDescent="0.3">
      <c r="L825" s="10"/>
      <c r="P825" s="10"/>
    </row>
    <row r="826" spans="12:16" x14ac:dyDescent="0.3">
      <c r="L826" s="10"/>
      <c r="P826" s="10"/>
    </row>
    <row r="827" spans="12:16" x14ac:dyDescent="0.3">
      <c r="L827" s="10"/>
      <c r="P827" s="10"/>
    </row>
    <row r="828" spans="12:16" x14ac:dyDescent="0.3">
      <c r="L828" s="10"/>
      <c r="P828" s="10"/>
    </row>
    <row r="829" spans="12:16" x14ac:dyDescent="0.3">
      <c r="L829" s="10"/>
      <c r="P829" s="10"/>
    </row>
    <row r="830" spans="12:16" x14ac:dyDescent="0.3">
      <c r="L830" s="10"/>
      <c r="P830" s="10"/>
    </row>
    <row r="831" spans="12:16" x14ac:dyDescent="0.3">
      <c r="L831" s="10"/>
      <c r="P831" s="10"/>
    </row>
    <row r="832" spans="12:16" x14ac:dyDescent="0.3">
      <c r="L832" s="10"/>
      <c r="P832" s="10"/>
    </row>
    <row r="833" spans="12:16" x14ac:dyDescent="0.3">
      <c r="L833" s="10"/>
      <c r="P833" s="10"/>
    </row>
    <row r="834" spans="12:16" x14ac:dyDescent="0.3">
      <c r="L834" s="10"/>
      <c r="P834" s="10"/>
    </row>
    <row r="835" spans="12:16" x14ac:dyDescent="0.3">
      <c r="L835" s="10"/>
      <c r="P835" s="10"/>
    </row>
    <row r="836" spans="12:16" x14ac:dyDescent="0.3">
      <c r="L836" s="10"/>
      <c r="P836" s="10"/>
    </row>
    <row r="837" spans="12:16" x14ac:dyDescent="0.3">
      <c r="L837" s="10"/>
      <c r="P837" s="10"/>
    </row>
    <row r="838" spans="12:16" x14ac:dyDescent="0.3">
      <c r="L838" s="10"/>
      <c r="P838" s="10"/>
    </row>
    <row r="839" spans="12:16" x14ac:dyDescent="0.3">
      <c r="L839" s="10"/>
      <c r="P839" s="10"/>
    </row>
    <row r="840" spans="12:16" x14ac:dyDescent="0.3">
      <c r="L840" s="10"/>
      <c r="P840" s="10"/>
    </row>
    <row r="841" spans="12:16" x14ac:dyDescent="0.3">
      <c r="L841" s="10"/>
      <c r="P841" s="10"/>
    </row>
    <row r="842" spans="12:16" x14ac:dyDescent="0.3">
      <c r="L842" s="10"/>
      <c r="P842" s="10"/>
    </row>
    <row r="843" spans="12:16" x14ac:dyDescent="0.3">
      <c r="L843" s="10"/>
      <c r="P843" s="10"/>
    </row>
    <row r="844" spans="12:16" x14ac:dyDescent="0.3">
      <c r="L844" s="10"/>
      <c r="P844" s="10"/>
    </row>
    <row r="845" spans="12:16" x14ac:dyDescent="0.3">
      <c r="L845" s="10"/>
      <c r="P845" s="10"/>
    </row>
    <row r="846" spans="12:16" x14ac:dyDescent="0.3">
      <c r="L846" s="10"/>
      <c r="P846" s="10"/>
    </row>
    <row r="847" spans="12:16" x14ac:dyDescent="0.3">
      <c r="L847" s="10"/>
      <c r="P847" s="10"/>
    </row>
    <row r="848" spans="12:16" x14ac:dyDescent="0.3">
      <c r="L848" s="10"/>
      <c r="P848" s="10"/>
    </row>
    <row r="849" spans="12:16" x14ac:dyDescent="0.3">
      <c r="L849" s="10"/>
      <c r="P849" s="10"/>
    </row>
    <row r="850" spans="12:16" x14ac:dyDescent="0.3">
      <c r="L850" s="10"/>
      <c r="P850" s="10"/>
    </row>
    <row r="851" spans="12:16" x14ac:dyDescent="0.3">
      <c r="L851" s="10"/>
      <c r="P851" s="10"/>
    </row>
    <row r="852" spans="12:16" x14ac:dyDescent="0.3">
      <c r="L852" s="10"/>
      <c r="P852" s="10"/>
    </row>
    <row r="853" spans="12:16" x14ac:dyDescent="0.3">
      <c r="L853" s="10"/>
      <c r="P853" s="10"/>
    </row>
    <row r="854" spans="12:16" x14ac:dyDescent="0.3">
      <c r="L854" s="10"/>
      <c r="P854" s="10"/>
    </row>
    <row r="855" spans="12:16" x14ac:dyDescent="0.3">
      <c r="L855" s="10"/>
      <c r="P855" s="10"/>
    </row>
    <row r="856" spans="12:16" x14ac:dyDescent="0.3">
      <c r="L856" s="10"/>
      <c r="P856" s="10"/>
    </row>
    <row r="857" spans="12:16" x14ac:dyDescent="0.3">
      <c r="L857" s="10"/>
      <c r="P857" s="10"/>
    </row>
    <row r="858" spans="12:16" x14ac:dyDescent="0.3">
      <c r="L858" s="10"/>
      <c r="P858" s="10"/>
    </row>
    <row r="859" spans="12:16" x14ac:dyDescent="0.3">
      <c r="L859" s="10"/>
      <c r="P859" s="10"/>
    </row>
    <row r="860" spans="12:16" x14ac:dyDescent="0.3">
      <c r="L860" s="10"/>
      <c r="P860" s="10"/>
    </row>
    <row r="861" spans="12:16" x14ac:dyDescent="0.3">
      <c r="L861" s="10"/>
      <c r="P861" s="10"/>
    </row>
    <row r="862" spans="12:16" x14ac:dyDescent="0.3">
      <c r="L862" s="10"/>
      <c r="P862" s="10"/>
    </row>
    <row r="863" spans="12:16" x14ac:dyDescent="0.3">
      <c r="L863" s="10"/>
      <c r="P863" s="10"/>
    </row>
    <row r="864" spans="12:16" x14ac:dyDescent="0.3">
      <c r="L864" s="10"/>
      <c r="P864" s="10"/>
    </row>
    <row r="865" spans="12:16" x14ac:dyDescent="0.3">
      <c r="L865" s="10"/>
      <c r="P865" s="10"/>
    </row>
    <row r="866" spans="12:16" x14ac:dyDescent="0.3">
      <c r="L866" s="10"/>
      <c r="P866" s="10"/>
    </row>
    <row r="867" spans="12:16" x14ac:dyDescent="0.3">
      <c r="L867" s="10"/>
      <c r="P867" s="10"/>
    </row>
    <row r="868" spans="12:16" x14ac:dyDescent="0.3">
      <c r="L868" s="10"/>
      <c r="P868" s="10"/>
    </row>
    <row r="869" spans="12:16" x14ac:dyDescent="0.3">
      <c r="L869" s="10"/>
      <c r="P869" s="10"/>
    </row>
    <row r="870" spans="12:16" x14ac:dyDescent="0.3">
      <c r="L870" s="10"/>
      <c r="P870" s="10"/>
    </row>
    <row r="871" spans="12:16" x14ac:dyDescent="0.3">
      <c r="L871" s="10"/>
      <c r="P871" s="10"/>
    </row>
    <row r="872" spans="12:16" x14ac:dyDescent="0.3">
      <c r="L872" s="10"/>
      <c r="P872" s="10"/>
    </row>
    <row r="873" spans="12:16" x14ac:dyDescent="0.3">
      <c r="L873" s="10"/>
      <c r="P873" s="10"/>
    </row>
    <row r="874" spans="12:16" x14ac:dyDescent="0.3">
      <c r="L874" s="10"/>
      <c r="P874" s="10"/>
    </row>
    <row r="875" spans="12:16" x14ac:dyDescent="0.3">
      <c r="L875" s="10"/>
      <c r="P875" s="10"/>
    </row>
    <row r="876" spans="12:16" x14ac:dyDescent="0.3">
      <c r="L876" s="10"/>
      <c r="P876" s="10"/>
    </row>
    <row r="877" spans="12:16" x14ac:dyDescent="0.3">
      <c r="L877" s="10"/>
      <c r="P877" s="10"/>
    </row>
    <row r="878" spans="12:16" x14ac:dyDescent="0.3">
      <c r="L878" s="10"/>
      <c r="P878" s="10"/>
    </row>
    <row r="879" spans="12:16" x14ac:dyDescent="0.3">
      <c r="L879" s="10"/>
      <c r="P879" s="10"/>
    </row>
    <row r="880" spans="12:16" x14ac:dyDescent="0.3">
      <c r="L880" s="10"/>
      <c r="P880" s="10"/>
    </row>
    <row r="881" spans="12:16" x14ac:dyDescent="0.3">
      <c r="L881" s="10"/>
      <c r="P881" s="10"/>
    </row>
    <row r="882" spans="12:16" x14ac:dyDescent="0.3">
      <c r="L882" s="10"/>
      <c r="P882" s="10"/>
    </row>
    <row r="883" spans="12:16" x14ac:dyDescent="0.3">
      <c r="L883" s="10"/>
      <c r="P883" s="10"/>
    </row>
    <row r="884" spans="12:16" x14ac:dyDescent="0.3">
      <c r="L884" s="10"/>
      <c r="P884" s="10"/>
    </row>
    <row r="885" spans="12:16" x14ac:dyDescent="0.3">
      <c r="L885" s="10"/>
      <c r="P885" s="10"/>
    </row>
    <row r="886" spans="12:16" x14ac:dyDescent="0.3">
      <c r="L886" s="10"/>
      <c r="P886" s="10"/>
    </row>
    <row r="887" spans="12:16" x14ac:dyDescent="0.3">
      <c r="L887" s="10"/>
      <c r="P887" s="10"/>
    </row>
    <row r="888" spans="12:16" x14ac:dyDescent="0.3">
      <c r="L888" s="10"/>
      <c r="P888" s="10"/>
    </row>
    <row r="889" spans="12:16" x14ac:dyDescent="0.3">
      <c r="L889" s="10"/>
      <c r="P889" s="10"/>
    </row>
    <row r="890" spans="12:16" x14ac:dyDescent="0.3">
      <c r="L890" s="10"/>
      <c r="P890" s="10"/>
    </row>
    <row r="891" spans="12:16" x14ac:dyDescent="0.3">
      <c r="L891" s="10"/>
      <c r="P891" s="10"/>
    </row>
    <row r="892" spans="12:16" x14ac:dyDescent="0.3">
      <c r="L892" s="10"/>
      <c r="P892" s="10"/>
    </row>
    <row r="893" spans="12:16" x14ac:dyDescent="0.3">
      <c r="L893" s="10"/>
      <c r="P893" s="10"/>
    </row>
    <row r="894" spans="12:16" x14ac:dyDescent="0.3">
      <c r="L894" s="10"/>
      <c r="P894" s="10"/>
    </row>
    <row r="895" spans="12:16" x14ac:dyDescent="0.3">
      <c r="L895" s="10"/>
      <c r="P895" s="10"/>
    </row>
    <row r="896" spans="12:16" x14ac:dyDescent="0.3">
      <c r="L896" s="10"/>
      <c r="P896" s="10"/>
    </row>
    <row r="897" spans="12:16" x14ac:dyDescent="0.3">
      <c r="L897" s="10"/>
      <c r="P897" s="10"/>
    </row>
    <row r="898" spans="12:16" x14ac:dyDescent="0.3">
      <c r="L898" s="10"/>
      <c r="P898" s="10"/>
    </row>
    <row r="899" spans="12:16" x14ac:dyDescent="0.3">
      <c r="L899" s="10"/>
      <c r="P899" s="10"/>
    </row>
    <row r="900" spans="12:16" x14ac:dyDescent="0.3">
      <c r="L900" s="10"/>
      <c r="P900" s="10"/>
    </row>
    <row r="901" spans="12:16" x14ac:dyDescent="0.3">
      <c r="L901" s="10"/>
      <c r="P901" s="10"/>
    </row>
    <row r="902" spans="12:16" x14ac:dyDescent="0.3">
      <c r="L902" s="10"/>
      <c r="P902" s="10"/>
    </row>
    <row r="903" spans="12:16" x14ac:dyDescent="0.3">
      <c r="L903" s="10"/>
      <c r="P903" s="10"/>
    </row>
    <row r="904" spans="12:16" x14ac:dyDescent="0.3">
      <c r="L904" s="10"/>
      <c r="P904" s="10"/>
    </row>
    <row r="905" spans="12:16" x14ac:dyDescent="0.3">
      <c r="L905" s="10"/>
      <c r="P905" s="10"/>
    </row>
    <row r="906" spans="12:16" x14ac:dyDescent="0.3">
      <c r="L906" s="10"/>
      <c r="P906" s="10"/>
    </row>
    <row r="907" spans="12:16" x14ac:dyDescent="0.3">
      <c r="L907" s="10"/>
      <c r="P907" s="10"/>
    </row>
    <row r="908" spans="12:16" x14ac:dyDescent="0.3">
      <c r="L908" s="10"/>
      <c r="P908" s="10"/>
    </row>
    <row r="909" spans="12:16" x14ac:dyDescent="0.3">
      <c r="L909" s="10"/>
      <c r="P909" s="10"/>
    </row>
    <row r="910" spans="12:16" x14ac:dyDescent="0.3">
      <c r="L910" s="10"/>
      <c r="P910" s="10"/>
    </row>
    <row r="911" spans="12:16" x14ac:dyDescent="0.3">
      <c r="L911" s="10"/>
      <c r="P911" s="10"/>
    </row>
    <row r="912" spans="12:16" x14ac:dyDescent="0.3">
      <c r="L912" s="10"/>
      <c r="P912" s="10"/>
    </row>
    <row r="913" spans="12:16" x14ac:dyDescent="0.3">
      <c r="L913" s="10"/>
      <c r="P913" s="10"/>
    </row>
    <row r="914" spans="12:16" x14ac:dyDescent="0.3">
      <c r="L914" s="10"/>
      <c r="P914" s="10"/>
    </row>
    <row r="915" spans="12:16" x14ac:dyDescent="0.3">
      <c r="L915" s="10"/>
      <c r="P915" s="10"/>
    </row>
    <row r="916" spans="12:16" x14ac:dyDescent="0.3">
      <c r="L916" s="10"/>
      <c r="P916" s="10"/>
    </row>
    <row r="917" spans="12:16" x14ac:dyDescent="0.3">
      <c r="L917" s="10"/>
      <c r="P917" s="10"/>
    </row>
    <row r="918" spans="12:16" x14ac:dyDescent="0.3">
      <c r="L918" s="10"/>
      <c r="P918" s="10"/>
    </row>
    <row r="919" spans="12:16" x14ac:dyDescent="0.3">
      <c r="L919" s="10"/>
      <c r="P919" s="10"/>
    </row>
    <row r="920" spans="12:16" x14ac:dyDescent="0.3">
      <c r="L920" s="10"/>
      <c r="P920" s="10"/>
    </row>
    <row r="921" spans="12:16" x14ac:dyDescent="0.3">
      <c r="L921" s="10"/>
      <c r="P921" s="10"/>
    </row>
    <row r="922" spans="12:16" x14ac:dyDescent="0.3">
      <c r="L922" s="10"/>
      <c r="P922" s="10"/>
    </row>
    <row r="923" spans="12:16" x14ac:dyDescent="0.3">
      <c r="L923" s="10"/>
      <c r="P923" s="10"/>
    </row>
    <row r="924" spans="12:16" x14ac:dyDescent="0.3">
      <c r="L924" s="10"/>
      <c r="P924" s="10"/>
    </row>
    <row r="925" spans="12:16" x14ac:dyDescent="0.3">
      <c r="L925" s="10"/>
      <c r="P925" s="10"/>
    </row>
    <row r="926" spans="12:16" x14ac:dyDescent="0.3">
      <c r="L926" s="10"/>
      <c r="P926" s="10"/>
    </row>
    <row r="927" spans="12:16" x14ac:dyDescent="0.3">
      <c r="L927" s="10"/>
      <c r="P927" s="10"/>
    </row>
    <row r="928" spans="12:16" x14ac:dyDescent="0.3">
      <c r="L928" s="10"/>
      <c r="P928" s="10"/>
    </row>
    <row r="929" spans="12:16" x14ac:dyDescent="0.3">
      <c r="L929" s="10"/>
      <c r="P929" s="10"/>
    </row>
    <row r="930" spans="12:16" x14ac:dyDescent="0.3">
      <c r="L930" s="10"/>
      <c r="P930" s="10"/>
    </row>
    <row r="931" spans="12:16" x14ac:dyDescent="0.3">
      <c r="L931" s="10"/>
      <c r="P931" s="10"/>
    </row>
    <row r="932" spans="12:16" x14ac:dyDescent="0.3">
      <c r="L932" s="10"/>
      <c r="P932" s="10"/>
    </row>
    <row r="933" spans="12:16" x14ac:dyDescent="0.3">
      <c r="L933" s="10"/>
      <c r="P933" s="10"/>
    </row>
    <row r="934" spans="12:16" x14ac:dyDescent="0.3">
      <c r="L934" s="10"/>
      <c r="P934" s="10"/>
    </row>
    <row r="935" spans="12:16" x14ac:dyDescent="0.3">
      <c r="L935" s="10"/>
      <c r="P935" s="10"/>
    </row>
    <row r="936" spans="12:16" x14ac:dyDescent="0.3">
      <c r="L936" s="10"/>
      <c r="P936" s="10"/>
    </row>
    <row r="937" spans="12:16" x14ac:dyDescent="0.3">
      <c r="L937" s="10"/>
      <c r="P937" s="10"/>
    </row>
    <row r="938" spans="12:16" x14ac:dyDescent="0.3">
      <c r="L938" s="10"/>
      <c r="P938" s="10"/>
    </row>
    <row r="939" spans="12:16" x14ac:dyDescent="0.3">
      <c r="L939" s="10"/>
      <c r="P939" s="10"/>
    </row>
    <row r="940" spans="12:16" x14ac:dyDescent="0.3">
      <c r="L940" s="10"/>
      <c r="P940" s="10"/>
    </row>
    <row r="941" spans="12:16" x14ac:dyDescent="0.3">
      <c r="L941" s="10"/>
      <c r="P941" s="10"/>
    </row>
    <row r="942" spans="12:16" x14ac:dyDescent="0.3">
      <c r="L942" s="10"/>
      <c r="P942" s="10"/>
    </row>
    <row r="943" spans="12:16" x14ac:dyDescent="0.3">
      <c r="L943" s="10"/>
      <c r="P943" s="10"/>
    </row>
    <row r="944" spans="12:16" x14ac:dyDescent="0.3">
      <c r="L944" s="10"/>
      <c r="P944" s="10"/>
    </row>
    <row r="945" spans="12:16" x14ac:dyDescent="0.3">
      <c r="L945" s="10"/>
      <c r="P945" s="10"/>
    </row>
    <row r="946" spans="12:16" x14ac:dyDescent="0.3">
      <c r="L946" s="10"/>
      <c r="P946" s="10"/>
    </row>
    <row r="947" spans="12:16" x14ac:dyDescent="0.3">
      <c r="L947" s="10"/>
      <c r="P947" s="10"/>
    </row>
    <row r="948" spans="12:16" x14ac:dyDescent="0.3">
      <c r="L948" s="10"/>
      <c r="P948" s="10"/>
    </row>
    <row r="949" spans="12:16" x14ac:dyDescent="0.3">
      <c r="L949" s="10"/>
      <c r="P949" s="10"/>
    </row>
    <row r="950" spans="12:16" x14ac:dyDescent="0.3">
      <c r="L950" s="10"/>
      <c r="P950" s="10"/>
    </row>
    <row r="951" spans="12:16" x14ac:dyDescent="0.3">
      <c r="L951" s="10"/>
      <c r="P951" s="10"/>
    </row>
    <row r="952" spans="12:16" x14ac:dyDescent="0.3">
      <c r="L952" s="10"/>
      <c r="P952" s="10"/>
    </row>
    <row r="953" spans="12:16" x14ac:dyDescent="0.3">
      <c r="L953" s="10"/>
      <c r="P953" s="10"/>
    </row>
    <row r="954" spans="12:16" x14ac:dyDescent="0.3">
      <c r="L954" s="10"/>
      <c r="P954" s="10"/>
    </row>
    <row r="955" spans="12:16" x14ac:dyDescent="0.3">
      <c r="L955" s="10"/>
      <c r="P955" s="10"/>
    </row>
    <row r="956" spans="12:16" x14ac:dyDescent="0.3">
      <c r="L956" s="10"/>
      <c r="P956" s="10"/>
    </row>
    <row r="957" spans="12:16" x14ac:dyDescent="0.3">
      <c r="L957" s="10"/>
      <c r="P957" s="10"/>
    </row>
    <row r="958" spans="12:16" x14ac:dyDescent="0.3">
      <c r="L958" s="10"/>
      <c r="P958" s="10"/>
    </row>
    <row r="959" spans="12:16" x14ac:dyDescent="0.3">
      <c r="L959" s="10"/>
      <c r="P959" s="10"/>
    </row>
    <row r="960" spans="12:16" x14ac:dyDescent="0.3">
      <c r="L960" s="10"/>
      <c r="P960" s="10"/>
    </row>
    <row r="961" spans="12:16" x14ac:dyDescent="0.3">
      <c r="L961" s="10"/>
      <c r="P961" s="10"/>
    </row>
    <row r="962" spans="12:16" x14ac:dyDescent="0.3">
      <c r="L962" s="10"/>
      <c r="P962" s="10"/>
    </row>
    <row r="963" spans="12:16" x14ac:dyDescent="0.3">
      <c r="L963" s="10"/>
      <c r="P963" s="10"/>
    </row>
    <row r="964" spans="12:16" x14ac:dyDescent="0.3">
      <c r="L964" s="10"/>
      <c r="P964" s="10"/>
    </row>
    <row r="965" spans="12:16" x14ac:dyDescent="0.3">
      <c r="L965" s="10"/>
      <c r="P965" s="10"/>
    </row>
    <row r="966" spans="12:16" x14ac:dyDescent="0.3">
      <c r="L966" s="10"/>
      <c r="P966" s="10"/>
    </row>
    <row r="967" spans="12:16" x14ac:dyDescent="0.3">
      <c r="L967" s="10"/>
      <c r="P967" s="10"/>
    </row>
    <row r="968" spans="12:16" x14ac:dyDescent="0.3">
      <c r="L968" s="10"/>
      <c r="P968" s="10"/>
    </row>
    <row r="969" spans="12:16" x14ac:dyDescent="0.3">
      <c r="L969" s="10"/>
      <c r="P969" s="10"/>
    </row>
    <row r="970" spans="12:16" x14ac:dyDescent="0.3">
      <c r="L970" s="10"/>
      <c r="P970" s="10"/>
    </row>
    <row r="971" spans="12:16" x14ac:dyDescent="0.3">
      <c r="L971" s="10"/>
      <c r="P971" s="10"/>
    </row>
    <row r="972" spans="12:16" x14ac:dyDescent="0.3">
      <c r="L972" s="10"/>
      <c r="P972" s="10"/>
    </row>
    <row r="973" spans="12:16" x14ac:dyDescent="0.3">
      <c r="L973" s="10"/>
      <c r="P973" s="10"/>
    </row>
    <row r="974" spans="12:16" x14ac:dyDescent="0.3">
      <c r="L974" s="10"/>
      <c r="P974" s="10"/>
    </row>
    <row r="975" spans="12:16" x14ac:dyDescent="0.3">
      <c r="L975" s="10"/>
      <c r="P975" s="10"/>
    </row>
    <row r="976" spans="12:16" x14ac:dyDescent="0.3">
      <c r="L976" s="10"/>
      <c r="P976" s="10"/>
    </row>
    <row r="977" spans="12:16" x14ac:dyDescent="0.3">
      <c r="L977" s="10"/>
      <c r="P977" s="10"/>
    </row>
    <row r="978" spans="12:16" x14ac:dyDescent="0.3">
      <c r="L978" s="10"/>
      <c r="P978" s="10"/>
    </row>
    <row r="979" spans="12:16" x14ac:dyDescent="0.3">
      <c r="L979" s="10"/>
      <c r="P979" s="10"/>
    </row>
    <row r="980" spans="12:16" x14ac:dyDescent="0.3">
      <c r="L980" s="10"/>
      <c r="P980" s="10"/>
    </row>
    <row r="981" spans="12:16" x14ac:dyDescent="0.3">
      <c r="L981" s="10"/>
      <c r="P981" s="10"/>
    </row>
    <row r="982" spans="12:16" x14ac:dyDescent="0.3">
      <c r="L982" s="10"/>
      <c r="P982" s="10"/>
    </row>
    <row r="983" spans="12:16" x14ac:dyDescent="0.3">
      <c r="L983" s="10"/>
      <c r="P983" s="10"/>
    </row>
    <row r="984" spans="12:16" x14ac:dyDescent="0.3">
      <c r="L984" s="10"/>
      <c r="P984" s="10"/>
    </row>
    <row r="985" spans="12:16" x14ac:dyDescent="0.3">
      <c r="L985" s="10"/>
      <c r="P985" s="10"/>
    </row>
    <row r="986" spans="12:16" x14ac:dyDescent="0.3">
      <c r="L986" s="10"/>
      <c r="P986" s="10"/>
    </row>
    <row r="987" spans="12:16" x14ac:dyDescent="0.3">
      <c r="L987" s="10"/>
      <c r="P987" s="10"/>
    </row>
    <row r="988" spans="12:16" x14ac:dyDescent="0.3">
      <c r="L988" s="10"/>
      <c r="P988" s="10"/>
    </row>
    <row r="989" spans="12:16" x14ac:dyDescent="0.3">
      <c r="L989" s="10"/>
      <c r="P989" s="10"/>
    </row>
    <row r="990" spans="12:16" x14ac:dyDescent="0.3">
      <c r="L990" s="10"/>
      <c r="P990" s="10"/>
    </row>
    <row r="991" spans="12:16" x14ac:dyDescent="0.3">
      <c r="L991" s="10"/>
      <c r="P991" s="10"/>
    </row>
    <row r="992" spans="12:16" x14ac:dyDescent="0.3">
      <c r="L992" s="10"/>
      <c r="P992" s="10"/>
    </row>
    <row r="993" spans="12:16" x14ac:dyDescent="0.3">
      <c r="L993" s="10"/>
      <c r="P993" s="10"/>
    </row>
    <row r="994" spans="12:16" x14ac:dyDescent="0.3">
      <c r="L994" s="10"/>
      <c r="P994" s="10"/>
    </row>
    <row r="995" spans="12:16" x14ac:dyDescent="0.3">
      <c r="L995" s="10"/>
      <c r="P995" s="10"/>
    </row>
    <row r="996" spans="12:16" x14ac:dyDescent="0.3">
      <c r="L996" s="10"/>
      <c r="P996" s="10"/>
    </row>
    <row r="997" spans="12:16" x14ac:dyDescent="0.3">
      <c r="L997" s="10"/>
      <c r="P997" s="10"/>
    </row>
    <row r="998" spans="12:16" x14ac:dyDescent="0.3">
      <c r="L998" s="10"/>
      <c r="P998" s="10"/>
    </row>
    <row r="999" spans="12:16" x14ac:dyDescent="0.3">
      <c r="L999" s="10"/>
      <c r="P999" s="10"/>
    </row>
    <row r="1000" spans="12:16" x14ac:dyDescent="0.3">
      <c r="L1000" s="10"/>
      <c r="P1000" s="10"/>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B516-A786-4AD9-94E9-ABC244324D08}">
  <dimension ref="A3:BD155"/>
  <sheetViews>
    <sheetView showGridLines="0" workbookViewId="0">
      <selection activeCell="F56" sqref="F56"/>
    </sheetView>
  </sheetViews>
  <sheetFormatPr defaultRowHeight="14.4" x14ac:dyDescent="0.3"/>
  <cols>
    <col min="1" max="1" width="16.33203125" bestFit="1" customWidth="1"/>
    <col min="3" max="3" width="18.33203125" bestFit="1" customWidth="1"/>
    <col min="8" max="8" width="12.5546875" bestFit="1" customWidth="1"/>
    <col min="12" max="12" width="19.33203125" bestFit="1" customWidth="1"/>
    <col min="16" max="16" width="24.77734375" bestFit="1" customWidth="1"/>
    <col min="18" max="19" width="12.5546875" bestFit="1" customWidth="1"/>
    <col min="22" max="22" width="13.5546875" bestFit="1" customWidth="1"/>
    <col min="23" max="23" width="21" bestFit="1" customWidth="1"/>
    <col min="30" max="30" width="12.5546875" bestFit="1" customWidth="1"/>
    <col min="31" max="31" width="15.44140625" bestFit="1" customWidth="1"/>
    <col min="32" max="32" width="24.88671875" bestFit="1" customWidth="1"/>
    <col min="33" max="33" width="21" bestFit="1" customWidth="1"/>
    <col min="36" max="37" width="12.5546875" bestFit="1" customWidth="1"/>
    <col min="38" max="38" width="15.44140625" bestFit="1" customWidth="1"/>
    <col min="42" max="42" width="15.44140625" bestFit="1" customWidth="1"/>
    <col min="43" max="43" width="19.33203125" bestFit="1" customWidth="1"/>
    <col min="46" max="46" width="12.5546875" bestFit="1" customWidth="1"/>
    <col min="47" max="47" width="21" bestFit="1" customWidth="1"/>
    <col min="50" max="50" width="12.5546875" bestFit="1" customWidth="1"/>
    <col min="51" max="51" width="21" bestFit="1" customWidth="1"/>
    <col min="55" max="55" width="12.5546875" bestFit="1" customWidth="1"/>
    <col min="56" max="56" width="21" bestFit="1" customWidth="1"/>
  </cols>
  <sheetData>
    <row r="3" spans="1:51" x14ac:dyDescent="0.3">
      <c r="A3" t="s">
        <v>1099</v>
      </c>
    </row>
    <row r="4" spans="1:51" x14ac:dyDescent="0.3">
      <c r="A4">
        <v>500</v>
      </c>
      <c r="M4">
        <f>P13</f>
        <v>596395.99</v>
      </c>
      <c r="R4" s="8" t="s">
        <v>1094</v>
      </c>
      <c r="S4" t="s">
        <v>1100</v>
      </c>
    </row>
    <row r="5" spans="1:51" x14ac:dyDescent="0.3">
      <c r="R5" s="9" t="s">
        <v>18</v>
      </c>
      <c r="S5" s="12">
        <v>18162308.66</v>
      </c>
    </row>
    <row r="6" spans="1:51" x14ac:dyDescent="0.3">
      <c r="R6" s="9" t="s">
        <v>28</v>
      </c>
      <c r="S6" s="12">
        <v>18901842.610000003</v>
      </c>
      <c r="AG6" s="8" t="s">
        <v>1094</v>
      </c>
    </row>
    <row r="7" spans="1:51" x14ac:dyDescent="0.3">
      <c r="R7" s="9" t="s">
        <v>64</v>
      </c>
      <c r="S7" s="12">
        <v>20463124.219999999</v>
      </c>
      <c r="AG7" s="9" t="s">
        <v>37</v>
      </c>
    </row>
    <row r="8" spans="1:51" x14ac:dyDescent="0.3">
      <c r="R8" s="9" t="s">
        <v>91</v>
      </c>
      <c r="S8" s="12">
        <v>17346670.019999996</v>
      </c>
      <c r="AG8" s="14" t="s">
        <v>98</v>
      </c>
    </row>
    <row r="9" spans="1:51" x14ac:dyDescent="0.3">
      <c r="P9" t="s">
        <v>1102</v>
      </c>
      <c r="R9" s="9" t="s">
        <v>35</v>
      </c>
      <c r="S9" s="12">
        <v>19059834.980000004</v>
      </c>
      <c r="AG9" s="14" t="s">
        <v>32</v>
      </c>
    </row>
    <row r="10" spans="1:51" x14ac:dyDescent="0.3">
      <c r="L10" t="s">
        <v>1100</v>
      </c>
      <c r="P10" s="15">
        <v>187867.56098000013</v>
      </c>
      <c r="R10" s="9" t="s">
        <v>1096</v>
      </c>
      <c r="S10" s="12">
        <v>93933780.489999995</v>
      </c>
      <c r="W10" s="16" t="e" vm="1">
        <v>#VALUE!</v>
      </c>
      <c r="AG10" s="14" t="s">
        <v>49</v>
      </c>
    </row>
    <row r="11" spans="1:51" x14ac:dyDescent="0.3">
      <c r="L11" s="15">
        <v>93933780.490000069</v>
      </c>
      <c r="AG11" s="14" t="s">
        <v>39</v>
      </c>
    </row>
    <row r="12" spans="1:51" x14ac:dyDescent="0.3">
      <c r="P12" t="s">
        <v>1103</v>
      </c>
      <c r="AG12" s="14" t="s">
        <v>23</v>
      </c>
    </row>
    <row r="13" spans="1:51" x14ac:dyDescent="0.3">
      <c r="P13" s="15">
        <v>596395.99</v>
      </c>
      <c r="AG13" s="9" t="s">
        <v>66</v>
      </c>
      <c r="AJ13" s="8" t="s">
        <v>1094</v>
      </c>
      <c r="AK13" t="s">
        <v>1100</v>
      </c>
      <c r="AX13" s="8" t="s">
        <v>1094</v>
      </c>
      <c r="AY13" t="s">
        <v>1104</v>
      </c>
    </row>
    <row r="14" spans="1:51" x14ac:dyDescent="0.3">
      <c r="L14" t="s">
        <v>1101</v>
      </c>
      <c r="AG14" s="14" t="s">
        <v>98</v>
      </c>
      <c r="AJ14" s="9" t="s">
        <v>1130</v>
      </c>
      <c r="AK14">
        <v>22594932.490000002</v>
      </c>
      <c r="AX14" s="9" t="s">
        <v>24</v>
      </c>
      <c r="AY14">
        <v>434</v>
      </c>
    </row>
    <row r="15" spans="1:51" x14ac:dyDescent="0.3">
      <c r="L15">
        <v>500</v>
      </c>
      <c r="AG15" s="14" t="s">
        <v>32</v>
      </c>
      <c r="AJ15" s="14" t="s">
        <v>1105</v>
      </c>
      <c r="AK15">
        <v>3570334.2399999998</v>
      </c>
      <c r="AX15" s="9" t="s">
        <v>113</v>
      </c>
      <c r="AY15">
        <v>26</v>
      </c>
    </row>
    <row r="16" spans="1:51" x14ac:dyDescent="0.3">
      <c r="AG16" s="14" t="s">
        <v>49</v>
      </c>
      <c r="AJ16" s="14" t="s">
        <v>1106</v>
      </c>
      <c r="AK16">
        <v>4054808.0700000003</v>
      </c>
      <c r="AX16" s="9" t="s">
        <v>50</v>
      </c>
      <c r="AY16">
        <v>19</v>
      </c>
    </row>
    <row r="17" spans="3:51" x14ac:dyDescent="0.3">
      <c r="AG17" s="14" t="s">
        <v>39</v>
      </c>
      <c r="AJ17" s="14" t="s">
        <v>1107</v>
      </c>
      <c r="AK17">
        <v>2048422.77</v>
      </c>
      <c r="AX17" s="9" t="s">
        <v>168</v>
      </c>
      <c r="AY17">
        <v>21</v>
      </c>
    </row>
    <row r="18" spans="3:51" x14ac:dyDescent="0.3">
      <c r="V18" s="13"/>
      <c r="AG18" s="14" t="s">
        <v>23</v>
      </c>
      <c r="AJ18" s="14" t="s">
        <v>1108</v>
      </c>
      <c r="AK18">
        <v>3066308.9599999995</v>
      </c>
      <c r="AX18" s="9" t="s">
        <v>1096</v>
      </c>
      <c r="AY18">
        <v>500</v>
      </c>
    </row>
    <row r="19" spans="3:51" x14ac:dyDescent="0.3">
      <c r="AG19" s="9" t="s">
        <v>163</v>
      </c>
      <c r="AJ19" s="14" t="s">
        <v>1109</v>
      </c>
      <c r="AK19">
        <v>5386301.2400000002</v>
      </c>
    </row>
    <row r="20" spans="3:51" x14ac:dyDescent="0.3">
      <c r="AG20" s="14" t="s">
        <v>98</v>
      </c>
      <c r="AJ20" s="14" t="s">
        <v>1110</v>
      </c>
      <c r="AK20">
        <v>4468757.2100000009</v>
      </c>
    </row>
    <row r="21" spans="3:51" x14ac:dyDescent="0.3">
      <c r="AG21" s="14" t="s">
        <v>32</v>
      </c>
      <c r="AJ21" s="9" t="s">
        <v>1131</v>
      </c>
      <c r="AK21">
        <v>47168885</v>
      </c>
    </row>
    <row r="22" spans="3:51" x14ac:dyDescent="0.3">
      <c r="AG22" s="14" t="s">
        <v>49</v>
      </c>
      <c r="AJ22" s="14" t="s">
        <v>1111</v>
      </c>
      <c r="AK22">
        <v>4858984.9300000006</v>
      </c>
    </row>
    <row r="23" spans="3:51" x14ac:dyDescent="0.3">
      <c r="AG23" s="14" t="s">
        <v>39</v>
      </c>
      <c r="AJ23" s="14" t="s">
        <v>1112</v>
      </c>
      <c r="AK23">
        <v>3486546.7899999996</v>
      </c>
    </row>
    <row r="24" spans="3:51" x14ac:dyDescent="0.3">
      <c r="AG24" s="14" t="s">
        <v>23</v>
      </c>
      <c r="AJ24" s="14" t="s">
        <v>1113</v>
      </c>
      <c r="AK24">
        <v>4138981.65</v>
      </c>
    </row>
    <row r="25" spans="3:51" x14ac:dyDescent="0.3">
      <c r="V25" s="8" t="s">
        <v>1094</v>
      </c>
      <c r="W25" t="s">
        <v>1104</v>
      </c>
      <c r="AG25" s="9" t="s">
        <v>47</v>
      </c>
      <c r="AJ25" s="14" t="s">
        <v>1114</v>
      </c>
      <c r="AK25">
        <v>5107154.71</v>
      </c>
    </row>
    <row r="26" spans="3:51" x14ac:dyDescent="0.3">
      <c r="V26" s="9" t="s">
        <v>22</v>
      </c>
      <c r="W26">
        <v>108</v>
      </c>
      <c r="AG26" s="14" t="s">
        <v>98</v>
      </c>
      <c r="AJ26" s="14" t="s">
        <v>1115</v>
      </c>
      <c r="AK26">
        <v>3764278.4999999991</v>
      </c>
    </row>
    <row r="27" spans="3:51" x14ac:dyDescent="0.3">
      <c r="S27" s="8" t="s">
        <v>1094</v>
      </c>
      <c r="V27" s="9" t="s">
        <v>48</v>
      </c>
      <c r="W27">
        <v>140</v>
      </c>
      <c r="AG27" s="14" t="s">
        <v>32</v>
      </c>
      <c r="AJ27" s="14" t="s">
        <v>1116</v>
      </c>
      <c r="AK27">
        <v>3872263.0800000005</v>
      </c>
    </row>
    <row r="28" spans="3:51" x14ac:dyDescent="0.3">
      <c r="S28" s="9" t="s">
        <v>18</v>
      </c>
      <c r="V28" s="9" t="s">
        <v>53</v>
      </c>
      <c r="W28">
        <v>136</v>
      </c>
      <c r="AG28" s="14" t="s">
        <v>49</v>
      </c>
      <c r="AJ28" s="14" t="s">
        <v>1117</v>
      </c>
      <c r="AK28">
        <v>2422662.2999999998</v>
      </c>
    </row>
    <row r="29" spans="3:51" x14ac:dyDescent="0.3">
      <c r="S29" s="9" t="s">
        <v>28</v>
      </c>
      <c r="V29" s="9" t="s">
        <v>38</v>
      </c>
      <c r="W29">
        <v>116</v>
      </c>
      <c r="AG29" s="14" t="s">
        <v>39</v>
      </c>
      <c r="AJ29" s="14" t="s">
        <v>1118</v>
      </c>
      <c r="AK29">
        <v>3391426.1499999994</v>
      </c>
    </row>
    <row r="30" spans="3:51" x14ac:dyDescent="0.3">
      <c r="S30" s="9" t="s">
        <v>64</v>
      </c>
      <c r="V30" s="9" t="s">
        <v>1096</v>
      </c>
      <c r="W30">
        <v>500</v>
      </c>
      <c r="AD30" s="8" t="s">
        <v>1094</v>
      </c>
      <c r="AE30" t="s">
        <v>1104</v>
      </c>
      <c r="AG30" s="14" t="s">
        <v>23</v>
      </c>
      <c r="AJ30" s="14" t="s">
        <v>1119</v>
      </c>
      <c r="AK30">
        <v>3523998.87</v>
      </c>
    </row>
    <row r="31" spans="3:51" x14ac:dyDescent="0.3">
      <c r="S31" s="9" t="s">
        <v>91</v>
      </c>
      <c r="AD31" s="9" t="s">
        <v>98</v>
      </c>
      <c r="AE31">
        <v>98</v>
      </c>
      <c r="AG31" s="9" t="s">
        <v>193</v>
      </c>
      <c r="AJ31" s="14" t="s">
        <v>1120</v>
      </c>
      <c r="AK31">
        <v>4513182.0499999989</v>
      </c>
    </row>
    <row r="32" spans="3:51" x14ac:dyDescent="0.3">
      <c r="C32" s="8" t="s">
        <v>1094</v>
      </c>
      <c r="S32" s="9" t="s">
        <v>35</v>
      </c>
      <c r="AD32" s="9" t="s">
        <v>32</v>
      </c>
      <c r="AE32">
        <v>100</v>
      </c>
      <c r="AG32" s="14" t="s">
        <v>98</v>
      </c>
      <c r="AJ32" s="14" t="s">
        <v>1121</v>
      </c>
      <c r="AK32">
        <v>4747001.53</v>
      </c>
    </row>
    <row r="33" spans="3:37" x14ac:dyDescent="0.3">
      <c r="C33" s="9" t="s">
        <v>37</v>
      </c>
      <c r="S33" s="9" t="s">
        <v>1096</v>
      </c>
      <c r="AD33" s="9" t="s">
        <v>49</v>
      </c>
      <c r="AE33">
        <v>128</v>
      </c>
      <c r="AG33" s="14" t="s">
        <v>32</v>
      </c>
      <c r="AJ33" s="14" t="s">
        <v>1122</v>
      </c>
      <c r="AK33">
        <v>3342404.4400000004</v>
      </c>
    </row>
    <row r="34" spans="3:37" x14ac:dyDescent="0.3">
      <c r="C34" s="9" t="s">
        <v>66</v>
      </c>
      <c r="J34">
        <f>COUNTA(H37)</f>
        <v>1</v>
      </c>
      <c r="AD34" s="9" t="s">
        <v>39</v>
      </c>
      <c r="AE34">
        <v>80</v>
      </c>
      <c r="AG34" s="14" t="s">
        <v>49</v>
      </c>
      <c r="AJ34" s="9" t="s">
        <v>1132</v>
      </c>
      <c r="AK34">
        <v>24169963</v>
      </c>
    </row>
    <row r="35" spans="3:37" x14ac:dyDescent="0.3">
      <c r="C35" s="9" t="s">
        <v>163</v>
      </c>
      <c r="AD35" s="9" t="s">
        <v>23</v>
      </c>
      <c r="AE35">
        <v>94</v>
      </c>
      <c r="AG35" s="14" t="s">
        <v>39</v>
      </c>
      <c r="AJ35" s="14" t="s">
        <v>1123</v>
      </c>
      <c r="AK35">
        <v>5263711.3099999996</v>
      </c>
    </row>
    <row r="36" spans="3:37" x14ac:dyDescent="0.3">
      <c r="C36" s="9" t="s">
        <v>47</v>
      </c>
      <c r="F36">
        <f>COUNTA(C33:C57)</f>
        <v>25</v>
      </c>
      <c r="H36" s="8" t="s">
        <v>1094</v>
      </c>
      <c r="T36">
        <f>COUNTA(S28:S32)</f>
        <v>5</v>
      </c>
      <c r="AD36" s="9" t="s">
        <v>1096</v>
      </c>
      <c r="AE36">
        <v>500</v>
      </c>
      <c r="AG36" s="14" t="s">
        <v>23</v>
      </c>
      <c r="AJ36" s="14" t="s">
        <v>1124</v>
      </c>
      <c r="AK36">
        <v>4645795.29</v>
      </c>
    </row>
    <row r="37" spans="3:37" x14ac:dyDescent="0.3">
      <c r="C37" s="9" t="s">
        <v>193</v>
      </c>
      <c r="H37" s="9" t="s">
        <v>98</v>
      </c>
      <c r="AG37" s="9" t="s">
        <v>147</v>
      </c>
      <c r="AJ37" s="14" t="s">
        <v>1125</v>
      </c>
      <c r="AK37">
        <v>3676813.52</v>
      </c>
    </row>
    <row r="38" spans="3:37" x14ac:dyDescent="0.3">
      <c r="C38" s="9" t="s">
        <v>147</v>
      </c>
      <c r="H38" s="9" t="s">
        <v>32</v>
      </c>
      <c r="J38">
        <f>COUNTA(H37:H41)</f>
        <v>5</v>
      </c>
      <c r="AG38" s="14" t="s">
        <v>98</v>
      </c>
      <c r="AJ38" s="14" t="s">
        <v>1126</v>
      </c>
      <c r="AK38">
        <v>3988613.6300000004</v>
      </c>
    </row>
    <row r="39" spans="3:37" x14ac:dyDescent="0.3">
      <c r="C39" s="9" t="s">
        <v>110</v>
      </c>
      <c r="H39" s="9" t="s">
        <v>49</v>
      </c>
      <c r="AG39" s="14" t="s">
        <v>32</v>
      </c>
      <c r="AJ39" s="14" t="s">
        <v>1127</v>
      </c>
      <c r="AK39">
        <v>2262880.6599999997</v>
      </c>
    </row>
    <row r="40" spans="3:37" x14ac:dyDescent="0.3">
      <c r="C40" s="9" t="s">
        <v>93</v>
      </c>
      <c r="H40" s="9" t="s">
        <v>39</v>
      </c>
      <c r="AE40" s="8" t="s">
        <v>1094</v>
      </c>
      <c r="AF40" t="s">
        <v>1100</v>
      </c>
      <c r="AG40" s="14" t="s">
        <v>49</v>
      </c>
      <c r="AJ40" s="14" t="s">
        <v>1128</v>
      </c>
      <c r="AK40">
        <v>3569418.01</v>
      </c>
    </row>
    <row r="41" spans="3:37" x14ac:dyDescent="0.3">
      <c r="C41" s="9" t="s">
        <v>178</v>
      </c>
      <c r="H41" s="9" t="s">
        <v>23</v>
      </c>
      <c r="AE41" s="9" t="s">
        <v>67</v>
      </c>
      <c r="AF41">
        <v>21355141.700000003</v>
      </c>
      <c r="AG41" s="14" t="s">
        <v>39</v>
      </c>
      <c r="AJ41" s="14" t="s">
        <v>1129</v>
      </c>
      <c r="AK41">
        <v>762730.58</v>
      </c>
    </row>
    <row r="42" spans="3:37" x14ac:dyDescent="0.3">
      <c r="C42" s="9" t="s">
        <v>30</v>
      </c>
      <c r="H42" s="9" t="s">
        <v>1096</v>
      </c>
      <c r="AE42" s="9" t="s">
        <v>21</v>
      </c>
      <c r="AF42">
        <v>23006905.11999999</v>
      </c>
      <c r="AG42" s="14" t="s">
        <v>23</v>
      </c>
      <c r="AJ42" s="9" t="s">
        <v>1096</v>
      </c>
      <c r="AK42">
        <v>93933780.489999995</v>
      </c>
    </row>
    <row r="43" spans="3:37" x14ac:dyDescent="0.3">
      <c r="C43" s="9" t="s">
        <v>157</v>
      </c>
      <c r="AE43" s="9" t="s">
        <v>31</v>
      </c>
      <c r="AF43">
        <v>26839605.480000012</v>
      </c>
      <c r="AG43" s="9" t="s">
        <v>110</v>
      </c>
    </row>
    <row r="44" spans="3:37" x14ac:dyDescent="0.3">
      <c r="C44" s="9" t="s">
        <v>131</v>
      </c>
      <c r="AE44" s="9" t="s">
        <v>70</v>
      </c>
      <c r="AF44">
        <v>22732128.189999994</v>
      </c>
      <c r="AG44" s="14" t="s">
        <v>98</v>
      </c>
    </row>
    <row r="45" spans="3:37" x14ac:dyDescent="0.3">
      <c r="C45" s="9" t="s">
        <v>20</v>
      </c>
      <c r="AE45" s="9" t="s">
        <v>1096</v>
      </c>
      <c r="AF45">
        <v>93933780.49000001</v>
      </c>
      <c r="AG45" s="14" t="s">
        <v>32</v>
      </c>
    </row>
    <row r="46" spans="3:37" x14ac:dyDescent="0.3">
      <c r="C46" s="9" t="s">
        <v>88</v>
      </c>
      <c r="AG46" s="14" t="s">
        <v>49</v>
      </c>
    </row>
    <row r="47" spans="3:37" x14ac:dyDescent="0.3">
      <c r="C47" s="9" t="s">
        <v>167</v>
      </c>
      <c r="AG47" s="14" t="s">
        <v>39</v>
      </c>
    </row>
    <row r="48" spans="3:37" x14ac:dyDescent="0.3">
      <c r="C48" s="9" t="s">
        <v>106</v>
      </c>
      <c r="AG48" s="14" t="s">
        <v>23</v>
      </c>
    </row>
    <row r="49" spans="3:56" x14ac:dyDescent="0.3">
      <c r="C49" s="9" t="s">
        <v>151</v>
      </c>
      <c r="AG49" s="9" t="s">
        <v>93</v>
      </c>
    </row>
    <row r="50" spans="3:56" x14ac:dyDescent="0.3">
      <c r="C50" s="9" t="s">
        <v>84</v>
      </c>
      <c r="AG50" s="14" t="s">
        <v>98</v>
      </c>
      <c r="AK50" s="8" t="s">
        <v>1094</v>
      </c>
      <c r="AL50" t="s">
        <v>1133</v>
      </c>
      <c r="AP50" s="8" t="s">
        <v>1094</v>
      </c>
      <c r="AQ50" t="s">
        <v>1101</v>
      </c>
      <c r="AT50" s="8" t="s">
        <v>1094</v>
      </c>
      <c r="AU50" t="s">
        <v>1104</v>
      </c>
    </row>
    <row r="51" spans="3:56" x14ac:dyDescent="0.3">
      <c r="C51" s="9" t="s">
        <v>137</v>
      </c>
      <c r="AG51" s="14" t="s">
        <v>32</v>
      </c>
      <c r="AK51" s="9" t="s">
        <v>18</v>
      </c>
      <c r="AL51">
        <v>98</v>
      </c>
      <c r="AP51" s="9" t="s">
        <v>67</v>
      </c>
      <c r="AQ51">
        <v>126</v>
      </c>
      <c r="AT51" s="9" t="s">
        <v>36</v>
      </c>
      <c r="AU51">
        <v>26</v>
      </c>
    </row>
    <row r="52" spans="3:56" x14ac:dyDescent="0.3">
      <c r="C52" s="9" t="s">
        <v>74</v>
      </c>
      <c r="AG52" s="14" t="s">
        <v>49</v>
      </c>
      <c r="AK52" s="9" t="s">
        <v>28</v>
      </c>
      <c r="AL52">
        <v>94</v>
      </c>
      <c r="AP52" s="9" t="s">
        <v>21</v>
      </c>
      <c r="AQ52">
        <v>120</v>
      </c>
      <c r="AT52" s="9" t="s">
        <v>65</v>
      </c>
      <c r="AU52">
        <v>20</v>
      </c>
      <c r="BC52" s="8" t="s">
        <v>1094</v>
      </c>
      <c r="BD52" t="s">
        <v>1104</v>
      </c>
    </row>
    <row r="53" spans="3:56" x14ac:dyDescent="0.3">
      <c r="C53" s="9" t="s">
        <v>80</v>
      </c>
      <c r="AG53" s="14" t="s">
        <v>39</v>
      </c>
      <c r="AK53" s="9" t="s">
        <v>64</v>
      </c>
      <c r="AL53">
        <v>110</v>
      </c>
      <c r="AP53" s="9" t="s">
        <v>31</v>
      </c>
      <c r="AQ53">
        <v>137</v>
      </c>
      <c r="AT53" s="9" t="s">
        <v>162</v>
      </c>
      <c r="AU53">
        <v>17</v>
      </c>
      <c r="BC53" s="9" t="s">
        <v>1098</v>
      </c>
      <c r="BD53">
        <v>406</v>
      </c>
    </row>
    <row r="54" spans="3:56" x14ac:dyDescent="0.3">
      <c r="C54" s="9" t="s">
        <v>43</v>
      </c>
      <c r="AG54" s="14" t="s">
        <v>23</v>
      </c>
      <c r="AK54" s="9" t="s">
        <v>91</v>
      </c>
      <c r="AL54">
        <v>97</v>
      </c>
      <c r="AP54" s="9" t="s">
        <v>70</v>
      </c>
      <c r="AQ54">
        <v>117</v>
      </c>
      <c r="AT54" s="9" t="s">
        <v>46</v>
      </c>
      <c r="AU54">
        <v>20</v>
      </c>
      <c r="BC54" s="9" t="s">
        <v>1097</v>
      </c>
      <c r="BD54">
        <v>94</v>
      </c>
    </row>
    <row r="55" spans="3:56" x14ac:dyDescent="0.3">
      <c r="C55" s="9" t="s">
        <v>57</v>
      </c>
      <c r="AG55" s="9" t="s">
        <v>178</v>
      </c>
      <c r="AK55" s="9" t="s">
        <v>35</v>
      </c>
      <c r="AL55">
        <v>101</v>
      </c>
      <c r="AP55" s="9" t="s">
        <v>1096</v>
      </c>
      <c r="AQ55">
        <v>500</v>
      </c>
      <c r="AT55" s="9" t="s">
        <v>192</v>
      </c>
      <c r="AU55">
        <v>22</v>
      </c>
      <c r="BC55" s="9" t="s">
        <v>1096</v>
      </c>
      <c r="BD55">
        <v>500</v>
      </c>
    </row>
    <row r="56" spans="3:56" x14ac:dyDescent="0.3">
      <c r="C56" s="9" t="s">
        <v>217</v>
      </c>
      <c r="AG56" s="14" t="s">
        <v>98</v>
      </c>
      <c r="AK56" s="9" t="s">
        <v>1096</v>
      </c>
      <c r="AL56">
        <v>500</v>
      </c>
      <c r="AT56" s="9" t="s">
        <v>146</v>
      </c>
      <c r="AU56">
        <v>23</v>
      </c>
    </row>
    <row r="57" spans="3:56" x14ac:dyDescent="0.3">
      <c r="C57" s="9" t="s">
        <v>61</v>
      </c>
      <c r="AG57" s="14" t="s">
        <v>32</v>
      </c>
      <c r="AT57" s="9" t="s">
        <v>109</v>
      </c>
      <c r="AU57">
        <v>28</v>
      </c>
    </row>
    <row r="58" spans="3:56" x14ac:dyDescent="0.3">
      <c r="C58" s="9" t="s">
        <v>1096</v>
      </c>
      <c r="AG58" s="14" t="s">
        <v>49</v>
      </c>
      <c r="AT58" s="9" t="s">
        <v>92</v>
      </c>
      <c r="AU58">
        <v>17</v>
      </c>
    </row>
    <row r="59" spans="3:56" x14ac:dyDescent="0.3">
      <c r="AG59" s="14" t="s">
        <v>39</v>
      </c>
      <c r="AT59" s="9" t="s">
        <v>177</v>
      </c>
      <c r="AU59">
        <v>22</v>
      </c>
    </row>
    <row r="60" spans="3:56" x14ac:dyDescent="0.3">
      <c r="AG60" s="14" t="s">
        <v>23</v>
      </c>
      <c r="AT60" s="9" t="s">
        <v>29</v>
      </c>
      <c r="AU60">
        <v>22</v>
      </c>
    </row>
    <row r="61" spans="3:56" x14ac:dyDescent="0.3">
      <c r="AG61" s="9" t="s">
        <v>30</v>
      </c>
      <c r="AT61" s="9" t="s">
        <v>156</v>
      </c>
      <c r="AU61">
        <v>19</v>
      </c>
    </row>
    <row r="62" spans="3:56" x14ac:dyDescent="0.3">
      <c r="AG62" s="14" t="s">
        <v>98</v>
      </c>
      <c r="AT62" s="9" t="s">
        <v>130</v>
      </c>
      <c r="AU62">
        <v>19</v>
      </c>
    </row>
    <row r="63" spans="3:56" x14ac:dyDescent="0.3">
      <c r="AG63" s="14" t="s">
        <v>32</v>
      </c>
      <c r="AT63" s="9" t="s">
        <v>19</v>
      </c>
      <c r="AU63">
        <v>28</v>
      </c>
    </row>
    <row r="64" spans="3:56" x14ac:dyDescent="0.3">
      <c r="AG64" s="14" t="s">
        <v>49</v>
      </c>
      <c r="AT64" s="9" t="s">
        <v>87</v>
      </c>
      <c r="AU64">
        <v>16</v>
      </c>
    </row>
    <row r="65" spans="33:47" x14ac:dyDescent="0.3">
      <c r="AG65" s="14" t="s">
        <v>39</v>
      </c>
      <c r="AT65" s="9" t="s">
        <v>166</v>
      </c>
      <c r="AU65">
        <v>22</v>
      </c>
    </row>
    <row r="66" spans="33:47" x14ac:dyDescent="0.3">
      <c r="AG66" s="14" t="s">
        <v>23</v>
      </c>
      <c r="AT66" s="9" t="s">
        <v>105</v>
      </c>
      <c r="AU66">
        <v>16</v>
      </c>
    </row>
    <row r="67" spans="33:47" x14ac:dyDescent="0.3">
      <c r="AG67" s="9" t="s">
        <v>157</v>
      </c>
      <c r="AT67" s="9" t="s">
        <v>150</v>
      </c>
      <c r="AU67">
        <v>19</v>
      </c>
    </row>
    <row r="68" spans="33:47" x14ac:dyDescent="0.3">
      <c r="AG68" s="14" t="s">
        <v>98</v>
      </c>
      <c r="AT68" s="9" t="s">
        <v>83</v>
      </c>
      <c r="AU68">
        <v>23</v>
      </c>
    </row>
    <row r="69" spans="33:47" x14ac:dyDescent="0.3">
      <c r="AG69" s="14" t="s">
        <v>32</v>
      </c>
      <c r="AT69" s="9" t="s">
        <v>136</v>
      </c>
      <c r="AU69">
        <v>12</v>
      </c>
    </row>
    <row r="70" spans="33:47" x14ac:dyDescent="0.3">
      <c r="AG70" s="14" t="s">
        <v>39</v>
      </c>
      <c r="AT70" s="9" t="s">
        <v>73</v>
      </c>
      <c r="AU70">
        <v>22</v>
      </c>
    </row>
    <row r="71" spans="33:47" x14ac:dyDescent="0.3">
      <c r="AG71" s="14" t="s">
        <v>23</v>
      </c>
      <c r="AT71" s="9" t="s">
        <v>79</v>
      </c>
      <c r="AU71">
        <v>17</v>
      </c>
    </row>
    <row r="72" spans="33:47" x14ac:dyDescent="0.3">
      <c r="AG72" s="9" t="s">
        <v>131</v>
      </c>
      <c r="AT72" s="9" t="s">
        <v>42</v>
      </c>
      <c r="AU72">
        <v>20</v>
      </c>
    </row>
    <row r="73" spans="33:47" x14ac:dyDescent="0.3">
      <c r="AG73" s="14" t="s">
        <v>98</v>
      </c>
      <c r="AT73" s="9" t="s">
        <v>56</v>
      </c>
      <c r="AU73">
        <v>15</v>
      </c>
    </row>
    <row r="74" spans="33:47" x14ac:dyDescent="0.3">
      <c r="AG74" s="14" t="s">
        <v>32</v>
      </c>
      <c r="AT74" s="9" t="s">
        <v>216</v>
      </c>
      <c r="AU74">
        <v>14</v>
      </c>
    </row>
    <row r="75" spans="33:47" x14ac:dyDescent="0.3">
      <c r="AG75" s="14" t="s">
        <v>49</v>
      </c>
      <c r="AT75" s="9" t="s">
        <v>60</v>
      </c>
      <c r="AU75">
        <v>21</v>
      </c>
    </row>
    <row r="76" spans="33:47" x14ac:dyDescent="0.3">
      <c r="AG76" s="14" t="s">
        <v>39</v>
      </c>
      <c r="AT76" s="9" t="s">
        <v>1096</v>
      </c>
      <c r="AU76">
        <v>500</v>
      </c>
    </row>
    <row r="77" spans="33:47" x14ac:dyDescent="0.3">
      <c r="AG77" s="14" t="s">
        <v>23</v>
      </c>
    </row>
    <row r="78" spans="33:47" x14ac:dyDescent="0.3">
      <c r="AG78" s="9" t="s">
        <v>20</v>
      </c>
    </row>
    <row r="79" spans="33:47" x14ac:dyDescent="0.3">
      <c r="AG79" s="14" t="s">
        <v>98</v>
      </c>
    </row>
    <row r="80" spans="33:47" x14ac:dyDescent="0.3">
      <c r="AG80" s="14" t="s">
        <v>32</v>
      </c>
    </row>
    <row r="81" spans="33:33" x14ac:dyDescent="0.3">
      <c r="AG81" s="14" t="s">
        <v>49</v>
      </c>
    </row>
    <row r="82" spans="33:33" x14ac:dyDescent="0.3">
      <c r="AG82" s="14" t="s">
        <v>39</v>
      </c>
    </row>
    <row r="83" spans="33:33" x14ac:dyDescent="0.3">
      <c r="AG83" s="14" t="s">
        <v>23</v>
      </c>
    </row>
    <row r="84" spans="33:33" x14ac:dyDescent="0.3">
      <c r="AG84" s="9" t="s">
        <v>88</v>
      </c>
    </row>
    <row r="85" spans="33:33" x14ac:dyDescent="0.3">
      <c r="AG85" s="14" t="s">
        <v>98</v>
      </c>
    </row>
    <row r="86" spans="33:33" x14ac:dyDescent="0.3">
      <c r="AG86" s="14" t="s">
        <v>32</v>
      </c>
    </row>
    <row r="87" spans="33:33" x14ac:dyDescent="0.3">
      <c r="AG87" s="14" t="s">
        <v>49</v>
      </c>
    </row>
    <row r="88" spans="33:33" x14ac:dyDescent="0.3">
      <c r="AG88" s="14" t="s">
        <v>39</v>
      </c>
    </row>
    <row r="89" spans="33:33" x14ac:dyDescent="0.3">
      <c r="AG89" s="14" t="s">
        <v>23</v>
      </c>
    </row>
    <row r="90" spans="33:33" x14ac:dyDescent="0.3">
      <c r="AG90" s="9" t="s">
        <v>167</v>
      </c>
    </row>
    <row r="91" spans="33:33" x14ac:dyDescent="0.3">
      <c r="AG91" s="14" t="s">
        <v>98</v>
      </c>
    </row>
    <row r="92" spans="33:33" x14ac:dyDescent="0.3">
      <c r="AG92" s="14" t="s">
        <v>32</v>
      </c>
    </row>
    <row r="93" spans="33:33" x14ac:dyDescent="0.3">
      <c r="AG93" s="14" t="s">
        <v>49</v>
      </c>
    </row>
    <row r="94" spans="33:33" x14ac:dyDescent="0.3">
      <c r="AG94" s="14" t="s">
        <v>39</v>
      </c>
    </row>
    <row r="95" spans="33:33" x14ac:dyDescent="0.3">
      <c r="AG95" s="14" t="s">
        <v>23</v>
      </c>
    </row>
    <row r="96" spans="33:33" x14ac:dyDescent="0.3">
      <c r="AG96" s="9" t="s">
        <v>106</v>
      </c>
    </row>
    <row r="97" spans="33:33" x14ac:dyDescent="0.3">
      <c r="AG97" s="14" t="s">
        <v>98</v>
      </c>
    </row>
    <row r="98" spans="33:33" x14ac:dyDescent="0.3">
      <c r="AG98" s="14" t="s">
        <v>32</v>
      </c>
    </row>
    <row r="99" spans="33:33" x14ac:dyDescent="0.3">
      <c r="AG99" s="14" t="s">
        <v>49</v>
      </c>
    </row>
    <row r="100" spans="33:33" x14ac:dyDescent="0.3">
      <c r="AG100" s="14" t="s">
        <v>39</v>
      </c>
    </row>
    <row r="101" spans="33:33" x14ac:dyDescent="0.3">
      <c r="AG101" s="14" t="s">
        <v>23</v>
      </c>
    </row>
    <row r="102" spans="33:33" x14ac:dyDescent="0.3">
      <c r="AG102" s="9" t="s">
        <v>151</v>
      </c>
    </row>
    <row r="103" spans="33:33" x14ac:dyDescent="0.3">
      <c r="AG103" s="14" t="s">
        <v>98</v>
      </c>
    </row>
    <row r="104" spans="33:33" x14ac:dyDescent="0.3">
      <c r="AG104" s="14" t="s">
        <v>32</v>
      </c>
    </row>
    <row r="105" spans="33:33" x14ac:dyDescent="0.3">
      <c r="AG105" s="14" t="s">
        <v>49</v>
      </c>
    </row>
    <row r="106" spans="33:33" x14ac:dyDescent="0.3">
      <c r="AG106" s="14" t="s">
        <v>39</v>
      </c>
    </row>
    <row r="107" spans="33:33" x14ac:dyDescent="0.3">
      <c r="AG107" s="14" t="s">
        <v>23</v>
      </c>
    </row>
    <row r="108" spans="33:33" x14ac:dyDescent="0.3">
      <c r="AG108" s="9" t="s">
        <v>84</v>
      </c>
    </row>
    <row r="109" spans="33:33" x14ac:dyDescent="0.3">
      <c r="AG109" s="14" t="s">
        <v>98</v>
      </c>
    </row>
    <row r="110" spans="33:33" x14ac:dyDescent="0.3">
      <c r="AG110" s="14" t="s">
        <v>32</v>
      </c>
    </row>
    <row r="111" spans="33:33" x14ac:dyDescent="0.3">
      <c r="AG111" s="14" t="s">
        <v>49</v>
      </c>
    </row>
    <row r="112" spans="33:33" x14ac:dyDescent="0.3">
      <c r="AG112" s="14" t="s">
        <v>23</v>
      </c>
    </row>
    <row r="113" spans="33:33" x14ac:dyDescent="0.3">
      <c r="AG113" s="9" t="s">
        <v>137</v>
      </c>
    </row>
    <row r="114" spans="33:33" x14ac:dyDescent="0.3">
      <c r="AG114" s="14" t="s">
        <v>98</v>
      </c>
    </row>
    <row r="115" spans="33:33" x14ac:dyDescent="0.3">
      <c r="AG115" s="14" t="s">
        <v>32</v>
      </c>
    </row>
    <row r="116" spans="33:33" x14ac:dyDescent="0.3">
      <c r="AG116" s="14" t="s">
        <v>49</v>
      </c>
    </row>
    <row r="117" spans="33:33" x14ac:dyDescent="0.3">
      <c r="AG117" s="14" t="s">
        <v>39</v>
      </c>
    </row>
    <row r="118" spans="33:33" x14ac:dyDescent="0.3">
      <c r="AG118" s="14" t="s">
        <v>23</v>
      </c>
    </row>
    <row r="119" spans="33:33" x14ac:dyDescent="0.3">
      <c r="AG119" s="9" t="s">
        <v>74</v>
      </c>
    </row>
    <row r="120" spans="33:33" x14ac:dyDescent="0.3">
      <c r="AG120" s="14" t="s">
        <v>98</v>
      </c>
    </row>
    <row r="121" spans="33:33" x14ac:dyDescent="0.3">
      <c r="AG121" s="14" t="s">
        <v>32</v>
      </c>
    </row>
    <row r="122" spans="33:33" x14ac:dyDescent="0.3">
      <c r="AG122" s="14" t="s">
        <v>49</v>
      </c>
    </row>
    <row r="123" spans="33:33" x14ac:dyDescent="0.3">
      <c r="AG123" s="14" t="s">
        <v>39</v>
      </c>
    </row>
    <row r="124" spans="33:33" x14ac:dyDescent="0.3">
      <c r="AG124" s="14" t="s">
        <v>23</v>
      </c>
    </row>
    <row r="125" spans="33:33" x14ac:dyDescent="0.3">
      <c r="AG125" s="9" t="s">
        <v>80</v>
      </c>
    </row>
    <row r="126" spans="33:33" x14ac:dyDescent="0.3">
      <c r="AG126" s="14" t="s">
        <v>98</v>
      </c>
    </row>
    <row r="127" spans="33:33" x14ac:dyDescent="0.3">
      <c r="AG127" s="14" t="s">
        <v>32</v>
      </c>
    </row>
    <row r="128" spans="33:33" x14ac:dyDescent="0.3">
      <c r="AG128" s="14" t="s">
        <v>49</v>
      </c>
    </row>
    <row r="129" spans="33:33" x14ac:dyDescent="0.3">
      <c r="AG129" s="14" t="s">
        <v>39</v>
      </c>
    </row>
    <row r="130" spans="33:33" x14ac:dyDescent="0.3">
      <c r="AG130" s="14" t="s">
        <v>23</v>
      </c>
    </row>
    <row r="131" spans="33:33" x14ac:dyDescent="0.3">
      <c r="AG131" s="9" t="s">
        <v>43</v>
      </c>
    </row>
    <row r="132" spans="33:33" x14ac:dyDescent="0.3">
      <c r="AG132" s="14" t="s">
        <v>98</v>
      </c>
    </row>
    <row r="133" spans="33:33" x14ac:dyDescent="0.3">
      <c r="AG133" s="14" t="s">
        <v>32</v>
      </c>
    </row>
    <row r="134" spans="33:33" x14ac:dyDescent="0.3">
      <c r="AG134" s="14" t="s">
        <v>49</v>
      </c>
    </row>
    <row r="135" spans="33:33" x14ac:dyDescent="0.3">
      <c r="AG135" s="14" t="s">
        <v>39</v>
      </c>
    </row>
    <row r="136" spans="33:33" x14ac:dyDescent="0.3">
      <c r="AG136" s="14" t="s">
        <v>23</v>
      </c>
    </row>
    <row r="137" spans="33:33" x14ac:dyDescent="0.3">
      <c r="AG137" s="9" t="s">
        <v>57</v>
      </c>
    </row>
    <row r="138" spans="33:33" x14ac:dyDescent="0.3">
      <c r="AG138" s="14" t="s">
        <v>98</v>
      </c>
    </row>
    <row r="139" spans="33:33" x14ac:dyDescent="0.3">
      <c r="AG139" s="14" t="s">
        <v>32</v>
      </c>
    </row>
    <row r="140" spans="33:33" x14ac:dyDescent="0.3">
      <c r="AG140" s="14" t="s">
        <v>49</v>
      </c>
    </row>
    <row r="141" spans="33:33" x14ac:dyDescent="0.3">
      <c r="AG141" s="14" t="s">
        <v>39</v>
      </c>
    </row>
    <row r="142" spans="33:33" x14ac:dyDescent="0.3">
      <c r="AG142" s="14" t="s">
        <v>23</v>
      </c>
    </row>
    <row r="143" spans="33:33" x14ac:dyDescent="0.3">
      <c r="AG143" s="9" t="s">
        <v>217</v>
      </c>
    </row>
    <row r="144" spans="33:33" x14ac:dyDescent="0.3">
      <c r="AG144" s="14" t="s">
        <v>98</v>
      </c>
    </row>
    <row r="145" spans="33:33" x14ac:dyDescent="0.3">
      <c r="AG145" s="14" t="s">
        <v>32</v>
      </c>
    </row>
    <row r="146" spans="33:33" x14ac:dyDescent="0.3">
      <c r="AG146" s="14" t="s">
        <v>49</v>
      </c>
    </row>
    <row r="147" spans="33:33" x14ac:dyDescent="0.3">
      <c r="AG147" s="14" t="s">
        <v>39</v>
      </c>
    </row>
    <row r="148" spans="33:33" x14ac:dyDescent="0.3">
      <c r="AG148" s="14" t="s">
        <v>23</v>
      </c>
    </row>
    <row r="149" spans="33:33" x14ac:dyDescent="0.3">
      <c r="AG149" s="9" t="s">
        <v>61</v>
      </c>
    </row>
    <row r="150" spans="33:33" x14ac:dyDescent="0.3">
      <c r="AG150" s="14" t="s">
        <v>98</v>
      </c>
    </row>
    <row r="151" spans="33:33" x14ac:dyDescent="0.3">
      <c r="AG151" s="14" t="s">
        <v>32</v>
      </c>
    </row>
    <row r="152" spans="33:33" x14ac:dyDescent="0.3">
      <c r="AG152" s="14" t="s">
        <v>49</v>
      </c>
    </row>
    <row r="153" spans="33:33" x14ac:dyDescent="0.3">
      <c r="AG153" s="14" t="s">
        <v>39</v>
      </c>
    </row>
    <row r="154" spans="33:33" x14ac:dyDescent="0.3">
      <c r="AG154" s="14" t="s">
        <v>23</v>
      </c>
    </row>
    <row r="155" spans="33:33" x14ac:dyDescent="0.3">
      <c r="AG155" s="9" t="s">
        <v>1096</v>
      </c>
    </row>
  </sheetData>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C5BB6-C780-44DD-9D8A-DB32C4A12043}">
  <sheetPr>
    <outlinePr summaryBelow="0" summaryRight="0"/>
  </sheetPr>
  <dimension ref="I7"/>
  <sheetViews>
    <sheetView showGridLines="0" showRowColHeaders="0" tabSelected="1" zoomScale="88" zoomScaleNormal="71" workbookViewId="0">
      <selection activeCell="Y20" sqref="Y20"/>
    </sheetView>
  </sheetViews>
  <sheetFormatPr defaultRowHeight="14.4" x14ac:dyDescent="0.3"/>
  <sheetData>
    <row r="7" spans="9:9" x14ac:dyDescent="0.3">
      <c r="I7">
        <f>Analysis!G40</f>
        <v>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workbookViewId="0">
      <selection activeCell="B24" sqref="A1:T501"/>
    </sheetView>
  </sheetViews>
  <sheetFormatPr defaultColWidth="14.44140625" defaultRowHeight="15" customHeight="1" x14ac:dyDescent="0.3"/>
  <cols>
    <col min="1" max="1" width="24.33203125" customWidth="1"/>
    <col min="2" max="2" width="20.77734375" customWidth="1"/>
    <col min="3" max="3" width="21.77734375" customWidth="1"/>
    <col min="4" max="4" width="16.33203125" customWidth="1"/>
    <col min="5" max="5" width="17.5546875" customWidth="1"/>
    <col min="6" max="6" width="16.21875" customWidth="1"/>
    <col min="7" max="7" width="26.5546875" customWidth="1"/>
    <col min="8" max="8" width="19.21875" customWidth="1"/>
    <col min="9" max="9" width="20.109375" customWidth="1"/>
    <col min="10" max="10" width="17.88671875" customWidth="1"/>
    <col min="11" max="11" width="21.88671875" customWidth="1"/>
    <col min="12" max="12" width="21" customWidth="1"/>
    <col min="13" max="13" width="23.44140625" customWidth="1"/>
    <col min="14" max="14" width="16.44140625" customWidth="1"/>
    <col min="15" max="15" width="17.21875" customWidth="1"/>
    <col min="16" max="16" width="45.109375" customWidth="1"/>
    <col min="17" max="17" width="20.109375" customWidth="1"/>
    <col min="18" max="18" width="19.33203125" customWidth="1"/>
    <col min="19" max="19" width="32.88671875" customWidth="1"/>
    <col min="20" max="20" width="17.88671875" customWidth="1"/>
    <col min="21" max="25" width="8.6640625" customWidth="1"/>
  </cols>
  <sheetData>
    <row r="1" spans="1:20"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1" t="s">
        <v>15</v>
      </c>
      <c r="Q1" s="6" t="s">
        <v>1090</v>
      </c>
      <c r="R1" s="6" t="s">
        <v>1091</v>
      </c>
      <c r="S1" s="6" t="s">
        <v>1092</v>
      </c>
      <c r="T1" s="7" t="s">
        <v>1093</v>
      </c>
    </row>
    <row r="2" spans="1:20" ht="14.4" x14ac:dyDescent="0.3">
      <c r="A2" s="2" t="s">
        <v>16</v>
      </c>
      <c r="B2" s="2">
        <v>989374</v>
      </c>
      <c r="C2" s="2" t="s">
        <v>17</v>
      </c>
      <c r="D2" s="2">
        <v>748642976223</v>
      </c>
      <c r="E2" s="2" t="s">
        <v>18</v>
      </c>
      <c r="F2" s="2" t="s">
        <v>19</v>
      </c>
      <c r="G2" s="2" t="s">
        <v>20</v>
      </c>
      <c r="H2" s="2" t="s">
        <v>21</v>
      </c>
      <c r="I2" s="2" t="s">
        <v>22</v>
      </c>
      <c r="J2" s="2">
        <v>489850.94</v>
      </c>
      <c r="K2" s="2" t="s">
        <v>23</v>
      </c>
      <c r="L2" s="3">
        <v>45756</v>
      </c>
      <c r="M2" s="2" t="s">
        <v>24</v>
      </c>
      <c r="N2" s="2">
        <v>2330149</v>
      </c>
      <c r="O2" s="2" t="s">
        <v>25</v>
      </c>
      <c r="P2" s="5" t="str">
        <f>TEXT(L2,"yyyy-mm")</f>
        <v>2025-04</v>
      </c>
      <c r="Q2">
        <f>IF(I2="Withdrawal",-J2,J2)</f>
        <v>489850.94</v>
      </c>
      <c r="R2">
        <f>IF(O2="Yes",1,0)</f>
        <v>0</v>
      </c>
      <c r="S2" t="str">
        <f>IF(OR(K2="ATM",K2="Mobile App",K2="UPI"),"Digital",IF(K2="Branch","Branch-Driven","Cash-Based"))</f>
        <v>Digital</v>
      </c>
      <c r="T2" t="str">
        <f>IF(COUNTIF($C:$C,C2)&gt;1,"Frequent Transactor","One-Time User")</f>
        <v>One-Time User</v>
      </c>
    </row>
    <row r="3" spans="1:20" ht="14.4" x14ac:dyDescent="0.3">
      <c r="A3" s="2" t="s">
        <v>26</v>
      </c>
      <c r="B3" s="2">
        <v>945035</v>
      </c>
      <c r="C3" s="2" t="s">
        <v>27</v>
      </c>
      <c r="D3" s="2">
        <v>163745963749</v>
      </c>
      <c r="E3" s="2" t="s">
        <v>28</v>
      </c>
      <c r="F3" s="2" t="s">
        <v>29</v>
      </c>
      <c r="G3" s="2" t="s">
        <v>30</v>
      </c>
      <c r="H3" s="2" t="s">
        <v>31</v>
      </c>
      <c r="I3" s="2" t="s">
        <v>22</v>
      </c>
      <c r="J3" s="2">
        <v>427397.73</v>
      </c>
      <c r="K3" s="2" t="s">
        <v>32</v>
      </c>
      <c r="L3" s="3">
        <v>45228</v>
      </c>
      <c r="M3" s="2" t="s">
        <v>24</v>
      </c>
      <c r="N3" s="2">
        <v>1668521.67</v>
      </c>
      <c r="O3" s="2" t="s">
        <v>25</v>
      </c>
      <c r="P3" s="5" t="str">
        <f t="shared" ref="P3:P66" si="0">TEXT(L3,"yyyy-mm")</f>
        <v>2023-10</v>
      </c>
      <c r="Q3">
        <f t="shared" ref="Q3:Q66" si="1">IF(I3="Withdrawal",-J3,J3)</f>
        <v>427397.73</v>
      </c>
      <c r="R3">
        <f t="shared" ref="R3:R66" si="2">IF(O3="Yes",1,0)</f>
        <v>0</v>
      </c>
      <c r="S3" t="str">
        <f t="shared" ref="S3:S66" si="3">IF(OR(K3="ATM",K3="Mobile App",K3="UPI"),"Digital",IF(K3="Branch","Branch-Driven","Cash-Based"))</f>
        <v>Cash-Based</v>
      </c>
      <c r="T3" t="str">
        <f t="shared" ref="T3:T66" si="4">IF(COUNTIF($C:$C,C3)&gt;1,"Frequent Transactor","One-Time User")</f>
        <v>One-Time User</v>
      </c>
    </row>
    <row r="4" spans="1:20" ht="14.4" x14ac:dyDescent="0.3">
      <c r="A4" s="2" t="s">
        <v>33</v>
      </c>
      <c r="B4" s="2">
        <v>934360</v>
      </c>
      <c r="C4" s="2" t="s">
        <v>34</v>
      </c>
      <c r="D4" s="2">
        <v>193406494234</v>
      </c>
      <c r="E4" s="2" t="s">
        <v>35</v>
      </c>
      <c r="F4" s="2" t="s">
        <v>36</v>
      </c>
      <c r="G4" s="2" t="s">
        <v>37</v>
      </c>
      <c r="H4" s="2" t="s">
        <v>21</v>
      </c>
      <c r="I4" s="2" t="s">
        <v>38</v>
      </c>
      <c r="J4" s="2">
        <v>110664.95</v>
      </c>
      <c r="K4" s="2" t="s">
        <v>39</v>
      </c>
      <c r="L4" s="3">
        <v>45373</v>
      </c>
      <c r="M4" s="2" t="s">
        <v>24</v>
      </c>
      <c r="N4" s="2">
        <v>853196.4800000001</v>
      </c>
      <c r="O4" s="2" t="s">
        <v>25</v>
      </c>
      <c r="P4" s="5" t="str">
        <f t="shared" si="0"/>
        <v>2024-03</v>
      </c>
      <c r="Q4">
        <f t="shared" si="1"/>
        <v>-110664.95</v>
      </c>
      <c r="R4">
        <f t="shared" si="2"/>
        <v>0</v>
      </c>
      <c r="S4" t="str">
        <f t="shared" si="3"/>
        <v>Cash-Based</v>
      </c>
      <c r="T4" t="str">
        <f t="shared" si="4"/>
        <v>One-Time User</v>
      </c>
    </row>
    <row r="5" spans="1:20" ht="14.4" x14ac:dyDescent="0.3">
      <c r="A5" s="2" t="s">
        <v>40</v>
      </c>
      <c r="B5" s="2">
        <v>570696</v>
      </c>
      <c r="C5" s="2" t="s">
        <v>41</v>
      </c>
      <c r="D5" s="2">
        <v>170817762643</v>
      </c>
      <c r="E5" s="2" t="s">
        <v>35</v>
      </c>
      <c r="F5" s="2" t="s">
        <v>42</v>
      </c>
      <c r="G5" s="2" t="s">
        <v>43</v>
      </c>
      <c r="H5" s="2" t="s">
        <v>31</v>
      </c>
      <c r="I5" s="2" t="s">
        <v>22</v>
      </c>
      <c r="J5" s="2">
        <v>121505.31</v>
      </c>
      <c r="K5" s="2" t="s">
        <v>23</v>
      </c>
      <c r="L5" s="3">
        <v>45646</v>
      </c>
      <c r="M5" s="2" t="s">
        <v>24</v>
      </c>
      <c r="N5" s="2">
        <v>926115.91999999993</v>
      </c>
      <c r="O5" s="2" t="s">
        <v>25</v>
      </c>
      <c r="P5" s="5" t="str">
        <f t="shared" si="0"/>
        <v>2024-12</v>
      </c>
      <c r="Q5">
        <f t="shared" si="1"/>
        <v>121505.31</v>
      </c>
      <c r="R5">
        <f t="shared" si="2"/>
        <v>0</v>
      </c>
      <c r="S5" t="str">
        <f t="shared" si="3"/>
        <v>Digital</v>
      </c>
      <c r="T5" t="str">
        <f t="shared" si="4"/>
        <v>One-Time User</v>
      </c>
    </row>
    <row r="6" spans="1:20" ht="14.4" x14ac:dyDescent="0.3">
      <c r="A6" s="2" t="s">
        <v>44</v>
      </c>
      <c r="B6" s="2">
        <v>975319</v>
      </c>
      <c r="C6" s="2" t="s">
        <v>45</v>
      </c>
      <c r="D6" s="2">
        <v>319075165406</v>
      </c>
      <c r="E6" s="2" t="s">
        <v>18</v>
      </c>
      <c r="F6" s="2" t="s">
        <v>46</v>
      </c>
      <c r="G6" s="2" t="s">
        <v>47</v>
      </c>
      <c r="H6" s="2" t="s">
        <v>21</v>
      </c>
      <c r="I6" s="2" t="s">
        <v>48</v>
      </c>
      <c r="J6" s="2">
        <v>11528.19</v>
      </c>
      <c r="K6" s="2" t="s">
        <v>49</v>
      </c>
      <c r="L6" s="3">
        <v>45506</v>
      </c>
      <c r="M6" s="2" t="s">
        <v>50</v>
      </c>
      <c r="N6" s="2">
        <v>534430.57999999996</v>
      </c>
      <c r="O6" s="2" t="s">
        <v>25</v>
      </c>
      <c r="P6" s="5" t="str">
        <f t="shared" si="0"/>
        <v>2024-08</v>
      </c>
      <c r="Q6">
        <f t="shared" si="1"/>
        <v>11528.19</v>
      </c>
      <c r="R6">
        <f t="shared" si="2"/>
        <v>0</v>
      </c>
      <c r="S6" t="str">
        <f t="shared" si="3"/>
        <v>Cash-Based</v>
      </c>
      <c r="T6" t="str">
        <f t="shared" si="4"/>
        <v>One-Time User</v>
      </c>
    </row>
    <row r="7" spans="1:20" ht="14.4" x14ac:dyDescent="0.3">
      <c r="A7" s="2" t="s">
        <v>51</v>
      </c>
      <c r="B7" s="2">
        <v>895736</v>
      </c>
      <c r="C7" s="2" t="s">
        <v>52</v>
      </c>
      <c r="D7" s="2">
        <v>253605159009</v>
      </c>
      <c r="E7" s="2" t="s">
        <v>18</v>
      </c>
      <c r="F7" s="2" t="s">
        <v>46</v>
      </c>
      <c r="G7" s="2" t="s">
        <v>47</v>
      </c>
      <c r="H7" s="2" t="s">
        <v>31</v>
      </c>
      <c r="I7" s="2" t="s">
        <v>53</v>
      </c>
      <c r="J7" s="2">
        <v>458663.48</v>
      </c>
      <c r="K7" s="2" t="s">
        <v>49</v>
      </c>
      <c r="L7" s="3">
        <v>45453</v>
      </c>
      <c r="M7" s="2" t="s">
        <v>24</v>
      </c>
      <c r="N7" s="2">
        <v>2011952.25</v>
      </c>
      <c r="O7" s="2" t="s">
        <v>25</v>
      </c>
      <c r="P7" s="5" t="str">
        <f t="shared" si="0"/>
        <v>2024-06</v>
      </c>
      <c r="Q7">
        <f t="shared" si="1"/>
        <v>458663.48</v>
      </c>
      <c r="R7">
        <f t="shared" si="2"/>
        <v>0</v>
      </c>
      <c r="S7" t="str">
        <f t="shared" si="3"/>
        <v>Cash-Based</v>
      </c>
      <c r="T7" t="str">
        <f t="shared" si="4"/>
        <v>One-Time User</v>
      </c>
    </row>
    <row r="8" spans="1:20" ht="14.4" x14ac:dyDescent="0.3">
      <c r="A8" s="2" t="s">
        <v>54</v>
      </c>
      <c r="B8" s="2">
        <v>390841</v>
      </c>
      <c r="C8" s="2" t="s">
        <v>55</v>
      </c>
      <c r="D8" s="2">
        <v>945930618441</v>
      </c>
      <c r="E8" s="2" t="s">
        <v>18</v>
      </c>
      <c r="F8" s="2" t="s">
        <v>56</v>
      </c>
      <c r="G8" s="2" t="s">
        <v>57</v>
      </c>
      <c r="H8" s="2" t="s">
        <v>21</v>
      </c>
      <c r="I8" s="2" t="s">
        <v>53</v>
      </c>
      <c r="J8" s="2">
        <v>294460.92</v>
      </c>
      <c r="K8" s="2" t="s">
        <v>39</v>
      </c>
      <c r="L8" s="3">
        <v>45577</v>
      </c>
      <c r="M8" s="2" t="s">
        <v>24</v>
      </c>
      <c r="N8" s="2">
        <v>1713155.09</v>
      </c>
      <c r="O8" s="2" t="s">
        <v>25</v>
      </c>
      <c r="P8" s="5" t="str">
        <f t="shared" si="0"/>
        <v>2024-10</v>
      </c>
      <c r="Q8">
        <f t="shared" si="1"/>
        <v>294460.92</v>
      </c>
      <c r="R8">
        <f t="shared" si="2"/>
        <v>0</v>
      </c>
      <c r="S8" t="str">
        <f t="shared" si="3"/>
        <v>Cash-Based</v>
      </c>
      <c r="T8" t="str">
        <f t="shared" si="4"/>
        <v>One-Time User</v>
      </c>
    </row>
    <row r="9" spans="1:20" ht="14.4" x14ac:dyDescent="0.3">
      <c r="A9" s="2" t="s">
        <v>58</v>
      </c>
      <c r="B9" s="2">
        <v>538077</v>
      </c>
      <c r="C9" s="2" t="s">
        <v>59</v>
      </c>
      <c r="D9" s="2">
        <v>960946735259</v>
      </c>
      <c r="E9" s="2" t="s">
        <v>35</v>
      </c>
      <c r="F9" s="2" t="s">
        <v>60</v>
      </c>
      <c r="G9" s="2" t="s">
        <v>61</v>
      </c>
      <c r="H9" s="2" t="s">
        <v>31</v>
      </c>
      <c r="I9" s="2" t="s">
        <v>22</v>
      </c>
      <c r="J9" s="2">
        <v>70209.02</v>
      </c>
      <c r="K9" s="2" t="s">
        <v>49</v>
      </c>
      <c r="L9" s="3">
        <v>45436</v>
      </c>
      <c r="M9" s="2" t="s">
        <v>24</v>
      </c>
      <c r="N9" s="2">
        <v>1053966.8899999999</v>
      </c>
      <c r="O9" s="2" t="s">
        <v>25</v>
      </c>
      <c r="P9" s="5" t="str">
        <f t="shared" si="0"/>
        <v>2024-05</v>
      </c>
      <c r="Q9">
        <f t="shared" si="1"/>
        <v>70209.02</v>
      </c>
      <c r="R9">
        <f t="shared" si="2"/>
        <v>0</v>
      </c>
      <c r="S9" t="str">
        <f t="shared" si="3"/>
        <v>Cash-Based</v>
      </c>
      <c r="T9" t="str">
        <f t="shared" si="4"/>
        <v>One-Time User</v>
      </c>
    </row>
    <row r="10" spans="1:20" ht="14.4" x14ac:dyDescent="0.3">
      <c r="A10" s="2" t="s">
        <v>62</v>
      </c>
      <c r="B10" s="2">
        <v>536413</v>
      </c>
      <c r="C10" s="2" t="s">
        <v>63</v>
      </c>
      <c r="D10" s="2">
        <v>920065850736</v>
      </c>
      <c r="E10" s="2" t="s">
        <v>64</v>
      </c>
      <c r="F10" s="2" t="s">
        <v>65</v>
      </c>
      <c r="G10" s="2" t="s">
        <v>66</v>
      </c>
      <c r="H10" s="2" t="s">
        <v>67</v>
      </c>
      <c r="I10" s="2" t="s">
        <v>22</v>
      </c>
      <c r="J10" s="2">
        <v>305297.37</v>
      </c>
      <c r="K10" s="2" t="s">
        <v>32</v>
      </c>
      <c r="L10" s="3">
        <v>45531</v>
      </c>
      <c r="M10" s="2" t="s">
        <v>24</v>
      </c>
      <c r="N10" s="2">
        <v>2242547.87</v>
      </c>
      <c r="O10" s="2" t="s">
        <v>25</v>
      </c>
      <c r="P10" s="5" t="str">
        <f t="shared" si="0"/>
        <v>2024-08</v>
      </c>
      <c r="Q10">
        <f t="shared" si="1"/>
        <v>305297.37</v>
      </c>
      <c r="R10">
        <f t="shared" si="2"/>
        <v>0</v>
      </c>
      <c r="S10" t="str">
        <f t="shared" si="3"/>
        <v>Cash-Based</v>
      </c>
      <c r="T10" t="str">
        <f t="shared" si="4"/>
        <v>One-Time User</v>
      </c>
    </row>
    <row r="11" spans="1:20" ht="14.4" x14ac:dyDescent="0.3">
      <c r="A11" s="2" t="s">
        <v>68</v>
      </c>
      <c r="B11" s="2">
        <v>706008</v>
      </c>
      <c r="C11" s="2" t="s">
        <v>69</v>
      </c>
      <c r="D11" s="2">
        <v>246399826650</v>
      </c>
      <c r="E11" s="2" t="s">
        <v>18</v>
      </c>
      <c r="F11" s="2" t="s">
        <v>56</v>
      </c>
      <c r="G11" s="2" t="s">
        <v>57</v>
      </c>
      <c r="H11" s="2" t="s">
        <v>70</v>
      </c>
      <c r="I11" s="2" t="s">
        <v>48</v>
      </c>
      <c r="J11" s="2">
        <v>79976.37</v>
      </c>
      <c r="K11" s="2" t="s">
        <v>32</v>
      </c>
      <c r="L11" s="3">
        <v>45273</v>
      </c>
      <c r="M11" s="2" t="s">
        <v>24</v>
      </c>
      <c r="N11" s="2">
        <v>1766313.5</v>
      </c>
      <c r="O11" s="4" t="s">
        <v>25</v>
      </c>
      <c r="P11" s="5" t="str">
        <f t="shared" si="0"/>
        <v>2023-12</v>
      </c>
      <c r="Q11">
        <f t="shared" si="1"/>
        <v>79976.37</v>
      </c>
      <c r="R11">
        <f t="shared" si="2"/>
        <v>0</v>
      </c>
      <c r="S11" t="str">
        <f t="shared" si="3"/>
        <v>Cash-Based</v>
      </c>
      <c r="T11" t="str">
        <f t="shared" si="4"/>
        <v>One-Time User</v>
      </c>
    </row>
    <row r="12" spans="1:20" ht="14.4" x14ac:dyDescent="0.3">
      <c r="A12" s="2" t="s">
        <v>71</v>
      </c>
      <c r="B12" s="2">
        <v>615941</v>
      </c>
      <c r="C12" s="2" t="s">
        <v>72</v>
      </c>
      <c r="D12" s="2">
        <v>269059820502</v>
      </c>
      <c r="E12" s="2" t="s">
        <v>35</v>
      </c>
      <c r="F12" s="2" t="s">
        <v>73</v>
      </c>
      <c r="G12" s="2" t="s">
        <v>74</v>
      </c>
      <c r="H12" s="2" t="s">
        <v>67</v>
      </c>
      <c r="I12" s="2" t="s">
        <v>22</v>
      </c>
      <c r="J12" s="2">
        <v>426427.56</v>
      </c>
      <c r="K12" s="2" t="s">
        <v>49</v>
      </c>
      <c r="L12" s="3">
        <v>45121</v>
      </c>
      <c r="M12" s="2" t="s">
        <v>24</v>
      </c>
      <c r="N12" s="2">
        <v>836675.46</v>
      </c>
      <c r="O12" s="2" t="s">
        <v>25</v>
      </c>
      <c r="P12" s="5" t="str">
        <f t="shared" si="0"/>
        <v>2023-07</v>
      </c>
      <c r="Q12">
        <f t="shared" si="1"/>
        <v>426427.56</v>
      </c>
      <c r="R12">
        <f t="shared" si="2"/>
        <v>0</v>
      </c>
      <c r="S12" t="str">
        <f t="shared" si="3"/>
        <v>Cash-Based</v>
      </c>
      <c r="T12" t="str">
        <f t="shared" si="4"/>
        <v>One-Time User</v>
      </c>
    </row>
    <row r="13" spans="1:20" ht="14.4" x14ac:dyDescent="0.3">
      <c r="A13" s="2" t="s">
        <v>75</v>
      </c>
      <c r="B13" s="2">
        <v>565614</v>
      </c>
      <c r="C13" s="2" t="s">
        <v>76</v>
      </c>
      <c r="D13" s="2">
        <v>682739590821</v>
      </c>
      <c r="E13" s="2" t="s">
        <v>35</v>
      </c>
      <c r="F13" s="2" t="s">
        <v>36</v>
      </c>
      <c r="G13" s="2" t="s">
        <v>37</v>
      </c>
      <c r="H13" s="2" t="s">
        <v>21</v>
      </c>
      <c r="I13" s="2" t="s">
        <v>22</v>
      </c>
      <c r="J13" s="2">
        <v>484637.66</v>
      </c>
      <c r="K13" s="2" t="s">
        <v>39</v>
      </c>
      <c r="L13" s="3">
        <v>45485</v>
      </c>
      <c r="M13" s="2" t="s">
        <v>50</v>
      </c>
      <c r="N13" s="2">
        <v>1552234.03</v>
      </c>
      <c r="O13" s="2" t="s">
        <v>25</v>
      </c>
      <c r="P13" s="5" t="str">
        <f t="shared" si="0"/>
        <v>2024-07</v>
      </c>
      <c r="Q13">
        <f t="shared" si="1"/>
        <v>484637.66</v>
      </c>
      <c r="R13">
        <f t="shared" si="2"/>
        <v>0</v>
      </c>
      <c r="S13" t="str">
        <f t="shared" si="3"/>
        <v>Cash-Based</v>
      </c>
      <c r="T13" t="str">
        <f t="shared" si="4"/>
        <v>One-Time User</v>
      </c>
    </row>
    <row r="14" spans="1:20" ht="14.4" x14ac:dyDescent="0.3">
      <c r="A14" s="2" t="s">
        <v>77</v>
      </c>
      <c r="B14" s="2">
        <v>161024</v>
      </c>
      <c r="C14" s="2" t="s">
        <v>78</v>
      </c>
      <c r="D14" s="2">
        <v>257920784326</v>
      </c>
      <c r="E14" s="2" t="s">
        <v>28</v>
      </c>
      <c r="F14" s="2" t="s">
        <v>79</v>
      </c>
      <c r="G14" s="2" t="s">
        <v>80</v>
      </c>
      <c r="H14" s="2" t="s">
        <v>31</v>
      </c>
      <c r="I14" s="2" t="s">
        <v>22</v>
      </c>
      <c r="J14" s="2">
        <v>578105.66</v>
      </c>
      <c r="K14" s="2" t="s">
        <v>32</v>
      </c>
      <c r="L14" s="3">
        <v>45243</v>
      </c>
      <c r="M14" s="2" t="s">
        <v>24</v>
      </c>
      <c r="N14" s="2">
        <v>2235418.34</v>
      </c>
      <c r="O14" s="2" t="s">
        <v>25</v>
      </c>
      <c r="P14" s="5" t="str">
        <f t="shared" si="0"/>
        <v>2023-11</v>
      </c>
      <c r="Q14">
        <f t="shared" si="1"/>
        <v>578105.66</v>
      </c>
      <c r="R14">
        <f t="shared" si="2"/>
        <v>0</v>
      </c>
      <c r="S14" t="str">
        <f t="shared" si="3"/>
        <v>Cash-Based</v>
      </c>
      <c r="T14" t="str">
        <f t="shared" si="4"/>
        <v>One-Time User</v>
      </c>
    </row>
    <row r="15" spans="1:20" ht="14.4" x14ac:dyDescent="0.3">
      <c r="A15" s="2" t="s">
        <v>81</v>
      </c>
      <c r="B15" s="2">
        <v>915727</v>
      </c>
      <c r="C15" s="2" t="s">
        <v>82</v>
      </c>
      <c r="D15" s="2">
        <v>866173303309</v>
      </c>
      <c r="E15" s="2" t="s">
        <v>64</v>
      </c>
      <c r="F15" s="2" t="s">
        <v>83</v>
      </c>
      <c r="G15" s="2" t="s">
        <v>84</v>
      </c>
      <c r="H15" s="2" t="s">
        <v>70</v>
      </c>
      <c r="I15" s="2" t="s">
        <v>48</v>
      </c>
      <c r="J15" s="2">
        <v>285270.90000000002</v>
      </c>
      <c r="K15" s="2" t="s">
        <v>23</v>
      </c>
      <c r="L15" s="3">
        <v>45837</v>
      </c>
      <c r="M15" s="2" t="s">
        <v>24</v>
      </c>
      <c r="N15" s="2">
        <v>900185.58000000007</v>
      </c>
      <c r="O15" s="2" t="s">
        <v>25</v>
      </c>
      <c r="P15" s="5" t="str">
        <f t="shared" si="0"/>
        <v>2025-06</v>
      </c>
      <c r="Q15">
        <f t="shared" si="1"/>
        <v>285270.90000000002</v>
      </c>
      <c r="R15">
        <f t="shared" si="2"/>
        <v>0</v>
      </c>
      <c r="S15" t="str">
        <f t="shared" si="3"/>
        <v>Digital</v>
      </c>
      <c r="T15" t="str">
        <f t="shared" si="4"/>
        <v>One-Time User</v>
      </c>
    </row>
    <row r="16" spans="1:20" ht="14.4" x14ac:dyDescent="0.3">
      <c r="A16" s="2" t="s">
        <v>85</v>
      </c>
      <c r="B16" s="2">
        <v>330649</v>
      </c>
      <c r="C16" s="2" t="s">
        <v>86</v>
      </c>
      <c r="D16" s="2">
        <v>725385591832</v>
      </c>
      <c r="E16" s="2" t="s">
        <v>18</v>
      </c>
      <c r="F16" s="2" t="s">
        <v>87</v>
      </c>
      <c r="G16" s="2" t="s">
        <v>88</v>
      </c>
      <c r="H16" s="2" t="s">
        <v>67</v>
      </c>
      <c r="I16" s="2" t="s">
        <v>22</v>
      </c>
      <c r="J16" s="2">
        <v>419114.61</v>
      </c>
      <c r="K16" s="2" t="s">
        <v>32</v>
      </c>
      <c r="L16" s="3">
        <v>45158</v>
      </c>
      <c r="M16" s="2" t="s">
        <v>24</v>
      </c>
      <c r="N16" s="2">
        <v>2296120.29</v>
      </c>
      <c r="O16" s="2" t="s">
        <v>25</v>
      </c>
      <c r="P16" s="5" t="str">
        <f t="shared" si="0"/>
        <v>2023-08</v>
      </c>
      <c r="Q16">
        <f t="shared" si="1"/>
        <v>419114.61</v>
      </c>
      <c r="R16">
        <f t="shared" si="2"/>
        <v>0</v>
      </c>
      <c r="S16" t="str">
        <f t="shared" si="3"/>
        <v>Cash-Based</v>
      </c>
      <c r="T16" t="str">
        <f t="shared" si="4"/>
        <v>One-Time User</v>
      </c>
    </row>
    <row r="17" spans="1:20" ht="14.4" x14ac:dyDescent="0.3">
      <c r="A17" s="2" t="s">
        <v>89</v>
      </c>
      <c r="B17" s="2">
        <v>128757</v>
      </c>
      <c r="C17" s="2" t="s">
        <v>90</v>
      </c>
      <c r="D17" s="2">
        <v>129825978524</v>
      </c>
      <c r="E17" s="2" t="s">
        <v>91</v>
      </c>
      <c r="F17" s="2" t="s">
        <v>92</v>
      </c>
      <c r="G17" s="2" t="s">
        <v>93</v>
      </c>
      <c r="H17" s="2" t="s">
        <v>21</v>
      </c>
      <c r="I17" s="2" t="s">
        <v>48</v>
      </c>
      <c r="J17" s="2">
        <v>179240.17</v>
      </c>
      <c r="K17" s="2" t="s">
        <v>49</v>
      </c>
      <c r="L17" s="3">
        <v>45394</v>
      </c>
      <c r="M17" s="2" t="s">
        <v>24</v>
      </c>
      <c r="N17" s="2">
        <v>1836585.45</v>
      </c>
      <c r="O17" s="2" t="s">
        <v>25</v>
      </c>
      <c r="P17" s="5" t="str">
        <f t="shared" si="0"/>
        <v>2024-04</v>
      </c>
      <c r="Q17">
        <f t="shared" si="1"/>
        <v>179240.17</v>
      </c>
      <c r="R17">
        <f t="shared" si="2"/>
        <v>0</v>
      </c>
      <c r="S17" t="str">
        <f t="shared" si="3"/>
        <v>Cash-Based</v>
      </c>
      <c r="T17" t="str">
        <f t="shared" si="4"/>
        <v>One-Time User</v>
      </c>
    </row>
    <row r="18" spans="1:20" ht="14.4" x14ac:dyDescent="0.3">
      <c r="A18" s="2" t="s">
        <v>94</v>
      </c>
      <c r="B18" s="2">
        <v>565942</v>
      </c>
      <c r="C18" s="2" t="s">
        <v>95</v>
      </c>
      <c r="D18" s="2">
        <v>154877991245</v>
      </c>
      <c r="E18" s="2" t="s">
        <v>35</v>
      </c>
      <c r="F18" s="2" t="s">
        <v>42</v>
      </c>
      <c r="G18" s="2" t="s">
        <v>43</v>
      </c>
      <c r="H18" s="2" t="s">
        <v>31</v>
      </c>
      <c r="I18" s="2" t="s">
        <v>53</v>
      </c>
      <c r="J18" s="2">
        <v>391121.9</v>
      </c>
      <c r="K18" s="2" t="s">
        <v>49</v>
      </c>
      <c r="L18" s="3">
        <v>45328</v>
      </c>
      <c r="M18" s="2" t="s">
        <v>24</v>
      </c>
      <c r="N18" s="2">
        <v>2037513.89</v>
      </c>
      <c r="O18" s="2" t="s">
        <v>25</v>
      </c>
      <c r="P18" s="5" t="str">
        <f t="shared" si="0"/>
        <v>2024-02</v>
      </c>
      <c r="Q18">
        <f t="shared" si="1"/>
        <v>391121.9</v>
      </c>
      <c r="R18">
        <f t="shared" si="2"/>
        <v>0</v>
      </c>
      <c r="S18" t="str">
        <f t="shared" si="3"/>
        <v>Cash-Based</v>
      </c>
      <c r="T18" t="str">
        <f t="shared" si="4"/>
        <v>One-Time User</v>
      </c>
    </row>
    <row r="19" spans="1:20" ht="14.4" x14ac:dyDescent="0.3">
      <c r="A19" s="2" t="s">
        <v>96</v>
      </c>
      <c r="B19" s="2">
        <v>367162</v>
      </c>
      <c r="C19" s="2" t="s">
        <v>97</v>
      </c>
      <c r="D19" s="2">
        <v>246576120553</v>
      </c>
      <c r="E19" s="2" t="s">
        <v>28</v>
      </c>
      <c r="F19" s="2" t="s">
        <v>79</v>
      </c>
      <c r="G19" s="2" t="s">
        <v>80</v>
      </c>
      <c r="H19" s="2" t="s">
        <v>21</v>
      </c>
      <c r="I19" s="2" t="s">
        <v>48</v>
      </c>
      <c r="J19" s="2">
        <v>209237.66</v>
      </c>
      <c r="K19" s="2" t="s">
        <v>98</v>
      </c>
      <c r="L19" s="3">
        <v>45452</v>
      </c>
      <c r="M19" s="2" t="s">
        <v>24</v>
      </c>
      <c r="N19" s="2">
        <v>2140324.83</v>
      </c>
      <c r="O19" s="2" t="s">
        <v>25</v>
      </c>
      <c r="P19" s="5" t="str">
        <f t="shared" si="0"/>
        <v>2024-06</v>
      </c>
      <c r="Q19">
        <f t="shared" si="1"/>
        <v>209237.66</v>
      </c>
      <c r="R19">
        <f t="shared" si="2"/>
        <v>0</v>
      </c>
      <c r="S19" t="str">
        <f t="shared" si="3"/>
        <v>Cash-Based</v>
      </c>
      <c r="T19" t="str">
        <f t="shared" si="4"/>
        <v>One-Time User</v>
      </c>
    </row>
    <row r="20" spans="1:20" ht="14.4" x14ac:dyDescent="0.3">
      <c r="A20" s="2" t="s">
        <v>99</v>
      </c>
      <c r="B20" s="2">
        <v>107172</v>
      </c>
      <c r="C20" s="2" t="s">
        <v>100</v>
      </c>
      <c r="D20" s="2">
        <v>475789086915</v>
      </c>
      <c r="E20" s="2" t="s">
        <v>35</v>
      </c>
      <c r="F20" s="2" t="s">
        <v>42</v>
      </c>
      <c r="G20" s="2" t="s">
        <v>43</v>
      </c>
      <c r="H20" s="2" t="s">
        <v>31</v>
      </c>
      <c r="I20" s="2" t="s">
        <v>48</v>
      </c>
      <c r="J20" s="2">
        <v>208142.17</v>
      </c>
      <c r="K20" s="2" t="s">
        <v>49</v>
      </c>
      <c r="L20" s="3">
        <v>45517</v>
      </c>
      <c r="M20" s="2" t="s">
        <v>24</v>
      </c>
      <c r="N20" s="2">
        <v>1704438.38</v>
      </c>
      <c r="O20" s="2" t="s">
        <v>25</v>
      </c>
      <c r="P20" s="5" t="str">
        <f t="shared" si="0"/>
        <v>2024-08</v>
      </c>
      <c r="Q20">
        <f t="shared" si="1"/>
        <v>208142.17</v>
      </c>
      <c r="R20">
        <f t="shared" si="2"/>
        <v>0</v>
      </c>
      <c r="S20" t="str">
        <f t="shared" si="3"/>
        <v>Cash-Based</v>
      </c>
      <c r="T20" t="str">
        <f t="shared" si="4"/>
        <v>One-Time User</v>
      </c>
    </row>
    <row r="21" spans="1:20" ht="15.75" customHeight="1" x14ac:dyDescent="0.3">
      <c r="A21" s="2" t="s">
        <v>101</v>
      </c>
      <c r="B21" s="2">
        <v>792128</v>
      </c>
      <c r="C21" s="2" t="s">
        <v>102</v>
      </c>
      <c r="D21" s="2">
        <v>421404337824</v>
      </c>
      <c r="E21" s="2" t="s">
        <v>18</v>
      </c>
      <c r="F21" s="2" t="s">
        <v>46</v>
      </c>
      <c r="G21" s="2" t="s">
        <v>47</v>
      </c>
      <c r="H21" s="2" t="s">
        <v>31</v>
      </c>
      <c r="I21" s="2" t="s">
        <v>38</v>
      </c>
      <c r="J21" s="2">
        <v>109602.66</v>
      </c>
      <c r="K21" s="2" t="s">
        <v>32</v>
      </c>
      <c r="L21" s="3">
        <v>45614</v>
      </c>
      <c r="M21" s="2" t="s">
        <v>24</v>
      </c>
      <c r="N21" s="2">
        <v>1407474.11</v>
      </c>
      <c r="O21" s="2" t="s">
        <v>25</v>
      </c>
      <c r="P21" s="5" t="str">
        <f t="shared" si="0"/>
        <v>2024-11</v>
      </c>
      <c r="Q21">
        <f t="shared" si="1"/>
        <v>-109602.66</v>
      </c>
      <c r="R21">
        <f t="shared" si="2"/>
        <v>0</v>
      </c>
      <c r="S21" t="str">
        <f t="shared" si="3"/>
        <v>Cash-Based</v>
      </c>
      <c r="T21" t="str">
        <f t="shared" si="4"/>
        <v>One-Time User</v>
      </c>
    </row>
    <row r="22" spans="1:20" ht="15.75" customHeight="1" x14ac:dyDescent="0.3">
      <c r="A22" s="2" t="s">
        <v>103</v>
      </c>
      <c r="B22" s="2">
        <v>901380</v>
      </c>
      <c r="C22" s="2" t="s">
        <v>104</v>
      </c>
      <c r="D22" s="2">
        <v>399559926548</v>
      </c>
      <c r="E22" s="2" t="s">
        <v>91</v>
      </c>
      <c r="F22" s="2" t="s">
        <v>105</v>
      </c>
      <c r="G22" s="2" t="s">
        <v>106</v>
      </c>
      <c r="H22" s="2" t="s">
        <v>21</v>
      </c>
      <c r="I22" s="2" t="s">
        <v>38</v>
      </c>
      <c r="J22" s="2">
        <v>88517.73</v>
      </c>
      <c r="K22" s="2" t="s">
        <v>98</v>
      </c>
      <c r="L22" s="3">
        <v>45695</v>
      </c>
      <c r="M22" s="2" t="s">
        <v>24</v>
      </c>
      <c r="N22" s="2">
        <v>473505.78</v>
      </c>
      <c r="O22" s="2" t="s">
        <v>25</v>
      </c>
      <c r="P22" s="5" t="str">
        <f t="shared" si="0"/>
        <v>2025-02</v>
      </c>
      <c r="Q22">
        <f t="shared" si="1"/>
        <v>-88517.73</v>
      </c>
      <c r="R22">
        <f t="shared" si="2"/>
        <v>0</v>
      </c>
      <c r="S22" t="str">
        <f t="shared" si="3"/>
        <v>Cash-Based</v>
      </c>
      <c r="T22" t="str">
        <f t="shared" si="4"/>
        <v>One-Time User</v>
      </c>
    </row>
    <row r="23" spans="1:20" ht="15.75" customHeight="1" x14ac:dyDescent="0.3">
      <c r="A23" s="2" t="s">
        <v>107</v>
      </c>
      <c r="B23" s="2">
        <v>877399</v>
      </c>
      <c r="C23" s="2" t="s">
        <v>108</v>
      </c>
      <c r="D23" s="2">
        <v>964797210985</v>
      </c>
      <c r="E23" s="2" t="s">
        <v>91</v>
      </c>
      <c r="F23" s="2" t="s">
        <v>109</v>
      </c>
      <c r="G23" s="2" t="s">
        <v>110</v>
      </c>
      <c r="H23" s="2" t="s">
        <v>21</v>
      </c>
      <c r="I23" s="2" t="s">
        <v>53</v>
      </c>
      <c r="J23" s="2">
        <v>415314.39</v>
      </c>
      <c r="K23" s="2" t="s">
        <v>98</v>
      </c>
      <c r="L23" s="3">
        <v>45725</v>
      </c>
      <c r="M23" s="2" t="s">
        <v>24</v>
      </c>
      <c r="N23" s="2">
        <v>1834945.27</v>
      </c>
      <c r="O23" s="2" t="s">
        <v>25</v>
      </c>
      <c r="P23" s="5" t="str">
        <f t="shared" si="0"/>
        <v>2025-03</v>
      </c>
      <c r="Q23">
        <f t="shared" si="1"/>
        <v>415314.39</v>
      </c>
      <c r="R23">
        <f t="shared" si="2"/>
        <v>0</v>
      </c>
      <c r="S23" t="str">
        <f t="shared" si="3"/>
        <v>Cash-Based</v>
      </c>
      <c r="T23" t="str">
        <f t="shared" si="4"/>
        <v>One-Time User</v>
      </c>
    </row>
    <row r="24" spans="1:20" ht="15.75" customHeight="1" x14ac:dyDescent="0.3">
      <c r="A24" s="2" t="s">
        <v>111</v>
      </c>
      <c r="B24" s="2">
        <v>268498</v>
      </c>
      <c r="C24" s="2" t="s">
        <v>112</v>
      </c>
      <c r="D24" s="2">
        <v>371376739219</v>
      </c>
      <c r="E24" s="2" t="s">
        <v>64</v>
      </c>
      <c r="F24" s="2" t="s">
        <v>83</v>
      </c>
      <c r="G24" s="2" t="s">
        <v>84</v>
      </c>
      <c r="H24" s="2" t="s">
        <v>21</v>
      </c>
      <c r="I24" s="2" t="s">
        <v>53</v>
      </c>
      <c r="J24" s="2">
        <v>41441.83</v>
      </c>
      <c r="K24" s="2" t="s">
        <v>49</v>
      </c>
      <c r="L24" s="3">
        <v>45570</v>
      </c>
      <c r="M24" s="2" t="s">
        <v>113</v>
      </c>
      <c r="N24" s="2">
        <v>1056408.71</v>
      </c>
      <c r="O24" s="2" t="s">
        <v>25</v>
      </c>
      <c r="P24" s="5" t="str">
        <f t="shared" si="0"/>
        <v>2024-10</v>
      </c>
      <c r="Q24">
        <f t="shared" si="1"/>
        <v>41441.83</v>
      </c>
      <c r="R24">
        <f t="shared" si="2"/>
        <v>0</v>
      </c>
      <c r="S24" t="str">
        <f t="shared" si="3"/>
        <v>Cash-Based</v>
      </c>
      <c r="T24" t="str">
        <f t="shared" si="4"/>
        <v>One-Time User</v>
      </c>
    </row>
    <row r="25" spans="1:20" ht="15.75" customHeight="1" x14ac:dyDescent="0.3">
      <c r="A25" s="2" t="s">
        <v>114</v>
      </c>
      <c r="B25" s="2">
        <v>509182</v>
      </c>
      <c r="C25" s="2" t="s">
        <v>115</v>
      </c>
      <c r="D25" s="2">
        <v>290112954278</v>
      </c>
      <c r="E25" s="2" t="s">
        <v>64</v>
      </c>
      <c r="F25" s="2" t="s">
        <v>65</v>
      </c>
      <c r="G25" s="2" t="s">
        <v>66</v>
      </c>
      <c r="H25" s="2" t="s">
        <v>21</v>
      </c>
      <c r="I25" s="2" t="s">
        <v>53</v>
      </c>
      <c r="J25" s="2">
        <v>342882.13</v>
      </c>
      <c r="K25" s="2" t="s">
        <v>98</v>
      </c>
      <c r="L25" s="3">
        <v>45651</v>
      </c>
      <c r="M25" s="2" t="s">
        <v>24</v>
      </c>
      <c r="N25" s="2">
        <v>540147.12</v>
      </c>
      <c r="O25" s="2" t="s">
        <v>25</v>
      </c>
      <c r="P25" s="5" t="str">
        <f t="shared" si="0"/>
        <v>2024-12</v>
      </c>
      <c r="Q25">
        <f t="shared" si="1"/>
        <v>342882.13</v>
      </c>
      <c r="R25">
        <f t="shared" si="2"/>
        <v>0</v>
      </c>
      <c r="S25" t="str">
        <f t="shared" si="3"/>
        <v>Cash-Based</v>
      </c>
      <c r="T25" t="str">
        <f t="shared" si="4"/>
        <v>One-Time User</v>
      </c>
    </row>
    <row r="26" spans="1:20" ht="15.75" customHeight="1" x14ac:dyDescent="0.3">
      <c r="A26" s="2" t="s">
        <v>116</v>
      </c>
      <c r="B26" s="2">
        <v>298244</v>
      </c>
      <c r="C26" s="2" t="s">
        <v>117</v>
      </c>
      <c r="D26" s="2">
        <v>977958651702</v>
      </c>
      <c r="E26" s="2" t="s">
        <v>28</v>
      </c>
      <c r="F26" s="2" t="s">
        <v>79</v>
      </c>
      <c r="G26" s="2" t="s">
        <v>80</v>
      </c>
      <c r="H26" s="2" t="s">
        <v>67</v>
      </c>
      <c r="I26" s="2" t="s">
        <v>53</v>
      </c>
      <c r="J26" s="2">
        <v>271432.19</v>
      </c>
      <c r="K26" s="2" t="s">
        <v>39</v>
      </c>
      <c r="L26" s="3">
        <v>45589</v>
      </c>
      <c r="M26" s="2" t="s">
        <v>24</v>
      </c>
      <c r="N26" s="2">
        <v>1473919.05</v>
      </c>
      <c r="O26" s="2" t="s">
        <v>25</v>
      </c>
      <c r="P26" s="5" t="str">
        <f t="shared" si="0"/>
        <v>2024-10</v>
      </c>
      <c r="Q26">
        <f t="shared" si="1"/>
        <v>271432.19</v>
      </c>
      <c r="R26">
        <f t="shared" si="2"/>
        <v>0</v>
      </c>
      <c r="S26" t="str">
        <f t="shared" si="3"/>
        <v>Cash-Based</v>
      </c>
      <c r="T26" t="str">
        <f t="shared" si="4"/>
        <v>One-Time User</v>
      </c>
    </row>
    <row r="27" spans="1:20" ht="15.75" customHeight="1" x14ac:dyDescent="0.3">
      <c r="A27" s="2" t="s">
        <v>118</v>
      </c>
      <c r="B27" s="2">
        <v>564685</v>
      </c>
      <c r="C27" s="2" t="s">
        <v>119</v>
      </c>
      <c r="D27" s="2">
        <v>381970890311</v>
      </c>
      <c r="E27" s="2" t="s">
        <v>64</v>
      </c>
      <c r="F27" s="2" t="s">
        <v>83</v>
      </c>
      <c r="G27" s="2" t="s">
        <v>84</v>
      </c>
      <c r="H27" s="2" t="s">
        <v>67</v>
      </c>
      <c r="I27" s="2" t="s">
        <v>53</v>
      </c>
      <c r="J27" s="2">
        <v>253021.62</v>
      </c>
      <c r="K27" s="2" t="s">
        <v>49</v>
      </c>
      <c r="L27" s="3">
        <v>45405</v>
      </c>
      <c r="M27" s="2" t="s">
        <v>24</v>
      </c>
      <c r="N27" s="2">
        <v>2087860.21</v>
      </c>
      <c r="O27" s="2" t="s">
        <v>25</v>
      </c>
      <c r="P27" s="5" t="str">
        <f t="shared" si="0"/>
        <v>2024-04</v>
      </c>
      <c r="Q27">
        <f t="shared" si="1"/>
        <v>253021.62</v>
      </c>
      <c r="R27">
        <f t="shared" si="2"/>
        <v>0</v>
      </c>
      <c r="S27" t="str">
        <f t="shared" si="3"/>
        <v>Cash-Based</v>
      </c>
      <c r="T27" t="str">
        <f t="shared" si="4"/>
        <v>One-Time User</v>
      </c>
    </row>
    <row r="28" spans="1:20" ht="15.75" customHeight="1" x14ac:dyDescent="0.3">
      <c r="A28" s="2" t="s">
        <v>120</v>
      </c>
      <c r="B28" s="2">
        <v>772989</v>
      </c>
      <c r="C28" s="2" t="s">
        <v>121</v>
      </c>
      <c r="D28" s="2">
        <v>753553434809</v>
      </c>
      <c r="E28" s="2" t="s">
        <v>18</v>
      </c>
      <c r="F28" s="2" t="s">
        <v>87</v>
      </c>
      <c r="G28" s="2" t="s">
        <v>88</v>
      </c>
      <c r="H28" s="2" t="s">
        <v>67</v>
      </c>
      <c r="I28" s="2" t="s">
        <v>38</v>
      </c>
      <c r="J28" s="2">
        <v>20332.900000000001</v>
      </c>
      <c r="K28" s="2" t="s">
        <v>49</v>
      </c>
      <c r="L28" s="3">
        <v>45503</v>
      </c>
      <c r="M28" s="2" t="s">
        <v>24</v>
      </c>
      <c r="N28" s="2">
        <v>343435.64</v>
      </c>
      <c r="O28" s="2" t="s">
        <v>25</v>
      </c>
      <c r="P28" s="5" t="str">
        <f t="shared" si="0"/>
        <v>2024-07</v>
      </c>
      <c r="Q28">
        <f t="shared" si="1"/>
        <v>-20332.900000000001</v>
      </c>
      <c r="R28">
        <f t="shared" si="2"/>
        <v>0</v>
      </c>
      <c r="S28" t="str">
        <f t="shared" si="3"/>
        <v>Cash-Based</v>
      </c>
      <c r="T28" t="str">
        <f t="shared" si="4"/>
        <v>One-Time User</v>
      </c>
    </row>
    <row r="29" spans="1:20" ht="15.75" customHeight="1" x14ac:dyDescent="0.3">
      <c r="A29" s="2" t="s">
        <v>122</v>
      </c>
      <c r="B29" s="2">
        <v>516447</v>
      </c>
      <c r="C29" s="2" t="s">
        <v>123</v>
      </c>
      <c r="D29" s="2">
        <v>173872984561</v>
      </c>
      <c r="E29" s="2" t="s">
        <v>28</v>
      </c>
      <c r="F29" s="2" t="s">
        <v>29</v>
      </c>
      <c r="G29" s="2" t="s">
        <v>30</v>
      </c>
      <c r="H29" s="2" t="s">
        <v>67</v>
      </c>
      <c r="I29" s="2" t="s">
        <v>38</v>
      </c>
      <c r="J29" s="2">
        <v>108072.78</v>
      </c>
      <c r="K29" s="2" t="s">
        <v>23</v>
      </c>
      <c r="L29" s="3">
        <v>45450</v>
      </c>
      <c r="M29" s="2" t="s">
        <v>50</v>
      </c>
      <c r="N29" s="2">
        <v>1433209.47</v>
      </c>
      <c r="O29" s="2" t="s">
        <v>25</v>
      </c>
      <c r="P29" s="5" t="str">
        <f t="shared" si="0"/>
        <v>2024-06</v>
      </c>
      <c r="Q29">
        <f t="shared" si="1"/>
        <v>-108072.78</v>
      </c>
      <c r="R29">
        <f t="shared" si="2"/>
        <v>0</v>
      </c>
      <c r="S29" t="str">
        <f t="shared" si="3"/>
        <v>Digital</v>
      </c>
      <c r="T29" t="str">
        <f t="shared" si="4"/>
        <v>One-Time User</v>
      </c>
    </row>
    <row r="30" spans="1:20" ht="15.75" customHeight="1" x14ac:dyDescent="0.3">
      <c r="A30" s="2" t="s">
        <v>124</v>
      </c>
      <c r="B30" s="2">
        <v>171990</v>
      </c>
      <c r="C30" s="2" t="s">
        <v>125</v>
      </c>
      <c r="D30" s="2">
        <v>427472926649</v>
      </c>
      <c r="E30" s="2" t="s">
        <v>18</v>
      </c>
      <c r="F30" s="2" t="s">
        <v>87</v>
      </c>
      <c r="G30" s="2" t="s">
        <v>88</v>
      </c>
      <c r="H30" s="2" t="s">
        <v>67</v>
      </c>
      <c r="I30" s="2" t="s">
        <v>48</v>
      </c>
      <c r="J30" s="2">
        <v>248672.35</v>
      </c>
      <c r="K30" s="2" t="s">
        <v>39</v>
      </c>
      <c r="L30" s="3">
        <v>45156</v>
      </c>
      <c r="M30" s="2" t="s">
        <v>24</v>
      </c>
      <c r="N30" s="2">
        <v>838290.03999999992</v>
      </c>
      <c r="O30" s="2" t="s">
        <v>25</v>
      </c>
      <c r="P30" s="5" t="str">
        <f t="shared" si="0"/>
        <v>2023-08</v>
      </c>
      <c r="Q30">
        <f t="shared" si="1"/>
        <v>248672.35</v>
      </c>
      <c r="R30">
        <f t="shared" si="2"/>
        <v>0</v>
      </c>
      <c r="S30" t="str">
        <f t="shared" si="3"/>
        <v>Cash-Based</v>
      </c>
      <c r="T30" t="str">
        <f t="shared" si="4"/>
        <v>One-Time User</v>
      </c>
    </row>
    <row r="31" spans="1:20" ht="15.75" customHeight="1" x14ac:dyDescent="0.3">
      <c r="A31" s="2" t="s">
        <v>126</v>
      </c>
      <c r="B31" s="2">
        <v>217181</v>
      </c>
      <c r="C31" s="2" t="s">
        <v>127</v>
      </c>
      <c r="D31" s="2">
        <v>336318549444</v>
      </c>
      <c r="E31" s="2" t="s">
        <v>91</v>
      </c>
      <c r="F31" s="2" t="s">
        <v>109</v>
      </c>
      <c r="G31" s="2" t="s">
        <v>110</v>
      </c>
      <c r="H31" s="2" t="s">
        <v>21</v>
      </c>
      <c r="I31" s="2" t="s">
        <v>38</v>
      </c>
      <c r="J31" s="2">
        <v>29516.09</v>
      </c>
      <c r="K31" s="2" t="s">
        <v>98</v>
      </c>
      <c r="L31" s="3">
        <v>45217</v>
      </c>
      <c r="M31" s="2" t="s">
        <v>24</v>
      </c>
      <c r="N31" s="2">
        <v>1870328.71</v>
      </c>
      <c r="O31" s="2" t="s">
        <v>25</v>
      </c>
      <c r="P31" s="5" t="str">
        <f t="shared" si="0"/>
        <v>2023-10</v>
      </c>
      <c r="Q31">
        <f t="shared" si="1"/>
        <v>-29516.09</v>
      </c>
      <c r="R31">
        <f t="shared" si="2"/>
        <v>0</v>
      </c>
      <c r="S31" t="str">
        <f t="shared" si="3"/>
        <v>Cash-Based</v>
      </c>
      <c r="T31" t="str">
        <f t="shared" si="4"/>
        <v>One-Time User</v>
      </c>
    </row>
    <row r="32" spans="1:20" ht="15.75" customHeight="1" x14ac:dyDescent="0.3">
      <c r="A32" s="2" t="s">
        <v>128</v>
      </c>
      <c r="B32" s="2">
        <v>853995</v>
      </c>
      <c r="C32" s="2" t="s">
        <v>129</v>
      </c>
      <c r="D32" s="2">
        <v>564485035229</v>
      </c>
      <c r="E32" s="2" t="s">
        <v>91</v>
      </c>
      <c r="F32" s="2" t="s">
        <v>130</v>
      </c>
      <c r="G32" s="2" t="s">
        <v>131</v>
      </c>
      <c r="H32" s="2" t="s">
        <v>67</v>
      </c>
      <c r="I32" s="2" t="s">
        <v>22</v>
      </c>
      <c r="J32" s="2">
        <v>285994.06</v>
      </c>
      <c r="K32" s="2" t="s">
        <v>39</v>
      </c>
      <c r="L32" s="3">
        <v>45429</v>
      </c>
      <c r="M32" s="2" t="s">
        <v>24</v>
      </c>
      <c r="N32" s="2">
        <v>2159844.0099999998</v>
      </c>
      <c r="O32" s="2" t="s">
        <v>25</v>
      </c>
      <c r="P32" s="5" t="str">
        <f t="shared" si="0"/>
        <v>2024-05</v>
      </c>
      <c r="Q32">
        <f t="shared" si="1"/>
        <v>285994.06</v>
      </c>
      <c r="R32">
        <f t="shared" si="2"/>
        <v>0</v>
      </c>
      <c r="S32" t="str">
        <f t="shared" si="3"/>
        <v>Cash-Based</v>
      </c>
      <c r="T32" t="str">
        <f t="shared" si="4"/>
        <v>One-Time User</v>
      </c>
    </row>
    <row r="33" spans="1:20" ht="15.75" customHeight="1" x14ac:dyDescent="0.3">
      <c r="A33" s="2" t="s">
        <v>132</v>
      </c>
      <c r="B33" s="2">
        <v>433879</v>
      </c>
      <c r="C33" s="2" t="s">
        <v>133</v>
      </c>
      <c r="D33" s="2">
        <v>201493145216</v>
      </c>
      <c r="E33" s="2" t="s">
        <v>91</v>
      </c>
      <c r="F33" s="2" t="s">
        <v>92</v>
      </c>
      <c r="G33" s="2" t="s">
        <v>93</v>
      </c>
      <c r="H33" s="2" t="s">
        <v>70</v>
      </c>
      <c r="I33" s="2" t="s">
        <v>22</v>
      </c>
      <c r="J33" s="2">
        <v>374242.97</v>
      </c>
      <c r="K33" s="2" t="s">
        <v>39</v>
      </c>
      <c r="L33" s="3">
        <v>45128</v>
      </c>
      <c r="M33" s="2" t="s">
        <v>24</v>
      </c>
      <c r="N33" s="2">
        <v>1965672.23</v>
      </c>
      <c r="O33" s="2" t="s">
        <v>25</v>
      </c>
      <c r="P33" s="5" t="str">
        <f t="shared" si="0"/>
        <v>2023-07</v>
      </c>
      <c r="Q33">
        <f t="shared" si="1"/>
        <v>374242.97</v>
      </c>
      <c r="R33">
        <f t="shared" si="2"/>
        <v>0</v>
      </c>
      <c r="S33" t="str">
        <f t="shared" si="3"/>
        <v>Cash-Based</v>
      </c>
      <c r="T33" t="str">
        <f t="shared" si="4"/>
        <v>One-Time User</v>
      </c>
    </row>
    <row r="34" spans="1:20" ht="15.75" customHeight="1" x14ac:dyDescent="0.3">
      <c r="A34" s="2" t="s">
        <v>134</v>
      </c>
      <c r="B34" s="2">
        <v>651973</v>
      </c>
      <c r="C34" s="2" t="s">
        <v>135</v>
      </c>
      <c r="D34" s="2">
        <v>560621316956</v>
      </c>
      <c r="E34" s="2" t="s">
        <v>35</v>
      </c>
      <c r="F34" s="2" t="s">
        <v>136</v>
      </c>
      <c r="G34" s="2" t="s">
        <v>137</v>
      </c>
      <c r="H34" s="2" t="s">
        <v>31</v>
      </c>
      <c r="I34" s="2" t="s">
        <v>22</v>
      </c>
      <c r="J34" s="2">
        <v>148852.68</v>
      </c>
      <c r="K34" s="2" t="s">
        <v>39</v>
      </c>
      <c r="L34" s="3">
        <v>45796</v>
      </c>
      <c r="M34" s="2" t="s">
        <v>24</v>
      </c>
      <c r="N34" s="2">
        <v>1180170.71</v>
      </c>
      <c r="O34" s="2" t="s">
        <v>25</v>
      </c>
      <c r="P34" s="5" t="str">
        <f t="shared" si="0"/>
        <v>2025-05</v>
      </c>
      <c r="Q34">
        <f t="shared" si="1"/>
        <v>148852.68</v>
      </c>
      <c r="R34">
        <f t="shared" si="2"/>
        <v>0</v>
      </c>
      <c r="S34" t="str">
        <f t="shared" si="3"/>
        <v>Cash-Based</v>
      </c>
      <c r="T34" t="str">
        <f t="shared" si="4"/>
        <v>One-Time User</v>
      </c>
    </row>
    <row r="35" spans="1:20" ht="15.75" customHeight="1" x14ac:dyDescent="0.3">
      <c r="A35" s="2" t="s">
        <v>138</v>
      </c>
      <c r="B35" s="2">
        <v>743304</v>
      </c>
      <c r="C35" s="2" t="s">
        <v>139</v>
      </c>
      <c r="D35" s="2">
        <v>213916121897</v>
      </c>
      <c r="E35" s="2" t="s">
        <v>64</v>
      </c>
      <c r="F35" s="2" t="s">
        <v>65</v>
      </c>
      <c r="G35" s="2" t="s">
        <v>66</v>
      </c>
      <c r="H35" s="2" t="s">
        <v>67</v>
      </c>
      <c r="I35" s="2" t="s">
        <v>53</v>
      </c>
      <c r="J35" s="2">
        <v>101567.88</v>
      </c>
      <c r="K35" s="2" t="s">
        <v>49</v>
      </c>
      <c r="L35" s="3">
        <v>45746</v>
      </c>
      <c r="M35" s="2" t="s">
        <v>24</v>
      </c>
      <c r="N35" s="2">
        <v>199853.73</v>
      </c>
      <c r="O35" s="2" t="s">
        <v>25</v>
      </c>
      <c r="P35" s="5" t="str">
        <f t="shared" si="0"/>
        <v>2025-03</v>
      </c>
      <c r="Q35">
        <f t="shared" si="1"/>
        <v>101567.88</v>
      </c>
      <c r="R35">
        <f t="shared" si="2"/>
        <v>0</v>
      </c>
      <c r="S35" t="str">
        <f t="shared" si="3"/>
        <v>Cash-Based</v>
      </c>
      <c r="T35" t="str">
        <f t="shared" si="4"/>
        <v>One-Time User</v>
      </c>
    </row>
    <row r="36" spans="1:20" ht="15.75" customHeight="1" x14ac:dyDescent="0.3">
      <c r="A36" s="2" t="s">
        <v>140</v>
      </c>
      <c r="B36" s="2">
        <v>433578</v>
      </c>
      <c r="C36" s="2" t="s">
        <v>141</v>
      </c>
      <c r="D36" s="2">
        <v>524724150945</v>
      </c>
      <c r="E36" s="2" t="s">
        <v>18</v>
      </c>
      <c r="F36" s="2" t="s">
        <v>19</v>
      </c>
      <c r="G36" s="2" t="s">
        <v>20</v>
      </c>
      <c r="H36" s="2" t="s">
        <v>21</v>
      </c>
      <c r="I36" s="2" t="s">
        <v>48</v>
      </c>
      <c r="J36" s="2">
        <v>229408.77</v>
      </c>
      <c r="K36" s="2" t="s">
        <v>23</v>
      </c>
      <c r="L36" s="3">
        <v>45706</v>
      </c>
      <c r="M36" s="2" t="s">
        <v>24</v>
      </c>
      <c r="N36" s="2">
        <v>777778</v>
      </c>
      <c r="O36" s="2" t="s">
        <v>25</v>
      </c>
      <c r="P36" s="5" t="str">
        <f t="shared" si="0"/>
        <v>2025-02</v>
      </c>
      <c r="Q36">
        <f t="shared" si="1"/>
        <v>229408.77</v>
      </c>
      <c r="R36">
        <f t="shared" si="2"/>
        <v>0</v>
      </c>
      <c r="S36" t="str">
        <f t="shared" si="3"/>
        <v>Digital</v>
      </c>
      <c r="T36" t="str">
        <f t="shared" si="4"/>
        <v>One-Time User</v>
      </c>
    </row>
    <row r="37" spans="1:20" ht="15.75" customHeight="1" x14ac:dyDescent="0.3">
      <c r="A37" s="2" t="s">
        <v>142</v>
      </c>
      <c r="B37" s="2">
        <v>335618</v>
      </c>
      <c r="C37" s="2" t="s">
        <v>143</v>
      </c>
      <c r="D37" s="2">
        <v>978676125504</v>
      </c>
      <c r="E37" s="2" t="s">
        <v>91</v>
      </c>
      <c r="F37" s="2" t="s">
        <v>105</v>
      </c>
      <c r="G37" s="2" t="s">
        <v>106</v>
      </c>
      <c r="H37" s="2" t="s">
        <v>67</v>
      </c>
      <c r="I37" s="2" t="s">
        <v>22</v>
      </c>
      <c r="J37" s="2">
        <v>66704.02</v>
      </c>
      <c r="K37" s="2" t="s">
        <v>32</v>
      </c>
      <c r="L37" s="3">
        <v>45241</v>
      </c>
      <c r="M37" s="2" t="s">
        <v>24</v>
      </c>
      <c r="N37" s="2">
        <v>183649.06</v>
      </c>
      <c r="O37" s="2" t="s">
        <v>25</v>
      </c>
      <c r="P37" s="5" t="str">
        <f t="shared" si="0"/>
        <v>2023-11</v>
      </c>
      <c r="Q37">
        <f t="shared" si="1"/>
        <v>66704.02</v>
      </c>
      <c r="R37">
        <f t="shared" si="2"/>
        <v>0</v>
      </c>
      <c r="S37" t="str">
        <f t="shared" si="3"/>
        <v>Cash-Based</v>
      </c>
      <c r="T37" t="str">
        <f t="shared" si="4"/>
        <v>One-Time User</v>
      </c>
    </row>
    <row r="38" spans="1:20" ht="15.75" customHeight="1" x14ac:dyDescent="0.3">
      <c r="A38" s="2" t="s">
        <v>144</v>
      </c>
      <c r="B38" s="2">
        <v>134765</v>
      </c>
      <c r="C38" s="2" t="s">
        <v>145</v>
      </c>
      <c r="D38" s="2">
        <v>580776402182</v>
      </c>
      <c r="E38" s="2" t="s">
        <v>64</v>
      </c>
      <c r="F38" s="2" t="s">
        <v>146</v>
      </c>
      <c r="G38" s="2" t="s">
        <v>147</v>
      </c>
      <c r="H38" s="2" t="s">
        <v>67</v>
      </c>
      <c r="I38" s="2" t="s">
        <v>48</v>
      </c>
      <c r="J38" s="2">
        <v>36992.14</v>
      </c>
      <c r="K38" s="2" t="s">
        <v>49</v>
      </c>
      <c r="L38" s="3">
        <v>45588</v>
      </c>
      <c r="M38" s="2" t="s">
        <v>24</v>
      </c>
      <c r="N38" s="2">
        <v>1678066.58</v>
      </c>
      <c r="O38" s="2" t="s">
        <v>25</v>
      </c>
      <c r="P38" s="5" t="str">
        <f t="shared" si="0"/>
        <v>2024-10</v>
      </c>
      <c r="Q38">
        <f t="shared" si="1"/>
        <v>36992.14</v>
      </c>
      <c r="R38">
        <f t="shared" si="2"/>
        <v>0</v>
      </c>
      <c r="S38" t="str">
        <f t="shared" si="3"/>
        <v>Cash-Based</v>
      </c>
      <c r="T38" t="str">
        <f t="shared" si="4"/>
        <v>One-Time User</v>
      </c>
    </row>
    <row r="39" spans="1:20" ht="15.75" customHeight="1" x14ac:dyDescent="0.3">
      <c r="A39" s="2" t="s">
        <v>148</v>
      </c>
      <c r="B39" s="2">
        <v>837453</v>
      </c>
      <c r="C39" s="2" t="s">
        <v>149</v>
      </c>
      <c r="D39" s="2">
        <v>192276969734</v>
      </c>
      <c r="E39" s="2" t="s">
        <v>28</v>
      </c>
      <c r="F39" s="2" t="s">
        <v>150</v>
      </c>
      <c r="G39" s="2" t="s">
        <v>151</v>
      </c>
      <c r="H39" s="2" t="s">
        <v>21</v>
      </c>
      <c r="I39" s="2" t="s">
        <v>53</v>
      </c>
      <c r="J39" s="2">
        <v>122297.94</v>
      </c>
      <c r="K39" s="2" t="s">
        <v>98</v>
      </c>
      <c r="L39" s="3">
        <v>45336</v>
      </c>
      <c r="M39" s="2" t="s">
        <v>24</v>
      </c>
      <c r="N39" s="2">
        <v>351667.74</v>
      </c>
      <c r="O39" s="2" t="s">
        <v>25</v>
      </c>
      <c r="P39" s="5" t="str">
        <f t="shared" si="0"/>
        <v>2024-02</v>
      </c>
      <c r="Q39">
        <f t="shared" si="1"/>
        <v>122297.94</v>
      </c>
      <c r="R39">
        <f t="shared" si="2"/>
        <v>0</v>
      </c>
      <c r="S39" t="str">
        <f t="shared" si="3"/>
        <v>Cash-Based</v>
      </c>
      <c r="T39" t="str">
        <f t="shared" si="4"/>
        <v>One-Time User</v>
      </c>
    </row>
    <row r="40" spans="1:20" ht="15.75" customHeight="1" x14ac:dyDescent="0.3">
      <c r="A40" s="2" t="s">
        <v>152</v>
      </c>
      <c r="B40" s="2">
        <v>212429</v>
      </c>
      <c r="C40" s="2" t="s">
        <v>153</v>
      </c>
      <c r="D40" s="2">
        <v>788289851630</v>
      </c>
      <c r="E40" s="2" t="s">
        <v>91</v>
      </c>
      <c r="F40" s="2" t="s">
        <v>92</v>
      </c>
      <c r="G40" s="2" t="s">
        <v>93</v>
      </c>
      <c r="H40" s="2" t="s">
        <v>21</v>
      </c>
      <c r="I40" s="2" t="s">
        <v>48</v>
      </c>
      <c r="J40" s="2">
        <v>270490.09999999998</v>
      </c>
      <c r="K40" s="2" t="s">
        <v>39</v>
      </c>
      <c r="L40" s="3">
        <v>45566</v>
      </c>
      <c r="M40" s="2" t="s">
        <v>24</v>
      </c>
      <c r="N40" s="2">
        <v>1171836.49</v>
      </c>
      <c r="O40" s="2" t="s">
        <v>25</v>
      </c>
      <c r="P40" s="5" t="str">
        <f t="shared" si="0"/>
        <v>2024-10</v>
      </c>
      <c r="Q40">
        <f t="shared" si="1"/>
        <v>270490.09999999998</v>
      </c>
      <c r="R40">
        <f t="shared" si="2"/>
        <v>0</v>
      </c>
      <c r="S40" t="str">
        <f t="shared" si="3"/>
        <v>Cash-Based</v>
      </c>
      <c r="T40" t="str">
        <f t="shared" si="4"/>
        <v>One-Time User</v>
      </c>
    </row>
    <row r="41" spans="1:20" ht="15.75" customHeight="1" x14ac:dyDescent="0.3">
      <c r="A41" s="2" t="s">
        <v>154</v>
      </c>
      <c r="B41" s="2">
        <v>652501</v>
      </c>
      <c r="C41" s="2" t="s">
        <v>155</v>
      </c>
      <c r="D41" s="2">
        <v>792670907549</v>
      </c>
      <c r="E41" s="2" t="s">
        <v>18</v>
      </c>
      <c r="F41" s="2" t="s">
        <v>156</v>
      </c>
      <c r="G41" s="2" t="s">
        <v>157</v>
      </c>
      <c r="H41" s="2" t="s">
        <v>67</v>
      </c>
      <c r="I41" s="2" t="s">
        <v>22</v>
      </c>
      <c r="J41" s="2">
        <v>51847.92</v>
      </c>
      <c r="K41" s="2" t="s">
        <v>23</v>
      </c>
      <c r="L41" s="3">
        <v>45548</v>
      </c>
      <c r="M41" s="2" t="s">
        <v>24</v>
      </c>
      <c r="N41" s="2">
        <v>930650.27</v>
      </c>
      <c r="O41" s="2" t="s">
        <v>25</v>
      </c>
      <c r="P41" s="5" t="str">
        <f t="shared" si="0"/>
        <v>2024-09</v>
      </c>
      <c r="Q41">
        <f t="shared" si="1"/>
        <v>51847.92</v>
      </c>
      <c r="R41">
        <f t="shared" si="2"/>
        <v>0</v>
      </c>
      <c r="S41" t="str">
        <f t="shared" si="3"/>
        <v>Digital</v>
      </c>
      <c r="T41" t="str">
        <f t="shared" si="4"/>
        <v>One-Time User</v>
      </c>
    </row>
    <row r="42" spans="1:20" ht="15.75" customHeight="1" x14ac:dyDescent="0.3">
      <c r="A42" s="2" t="s">
        <v>158</v>
      </c>
      <c r="B42" s="2">
        <v>223517</v>
      </c>
      <c r="C42" s="2" t="s">
        <v>159</v>
      </c>
      <c r="D42" s="2">
        <v>709411524006</v>
      </c>
      <c r="E42" s="2" t="s">
        <v>91</v>
      </c>
      <c r="F42" s="2" t="s">
        <v>92</v>
      </c>
      <c r="G42" s="2" t="s">
        <v>93</v>
      </c>
      <c r="H42" s="2" t="s">
        <v>67</v>
      </c>
      <c r="I42" s="2" t="s">
        <v>48</v>
      </c>
      <c r="J42" s="2">
        <v>134957.76999999999</v>
      </c>
      <c r="K42" s="2" t="s">
        <v>39</v>
      </c>
      <c r="L42" s="3">
        <v>45198</v>
      </c>
      <c r="M42" s="2" t="s">
        <v>24</v>
      </c>
      <c r="N42" s="2">
        <v>604057.52</v>
      </c>
      <c r="O42" s="2" t="s">
        <v>25</v>
      </c>
      <c r="P42" s="5" t="str">
        <f t="shared" si="0"/>
        <v>2023-09</v>
      </c>
      <c r="Q42">
        <f t="shared" si="1"/>
        <v>134957.76999999999</v>
      </c>
      <c r="R42">
        <f t="shared" si="2"/>
        <v>0</v>
      </c>
      <c r="S42" t="str">
        <f t="shared" si="3"/>
        <v>Cash-Based</v>
      </c>
      <c r="T42" t="str">
        <f t="shared" si="4"/>
        <v>One-Time User</v>
      </c>
    </row>
    <row r="43" spans="1:20" ht="15.75" customHeight="1" x14ac:dyDescent="0.3">
      <c r="A43" s="2" t="s">
        <v>160</v>
      </c>
      <c r="B43" s="2">
        <v>875642</v>
      </c>
      <c r="C43" s="2" t="s">
        <v>161</v>
      </c>
      <c r="D43" s="2">
        <v>397885804569</v>
      </c>
      <c r="E43" s="2" t="s">
        <v>91</v>
      </c>
      <c r="F43" s="2" t="s">
        <v>162</v>
      </c>
      <c r="G43" s="2" t="s">
        <v>163</v>
      </c>
      <c r="H43" s="2" t="s">
        <v>31</v>
      </c>
      <c r="I43" s="2" t="s">
        <v>38</v>
      </c>
      <c r="J43" s="2">
        <v>58285.919999999998</v>
      </c>
      <c r="K43" s="2" t="s">
        <v>49</v>
      </c>
      <c r="L43" s="3">
        <v>45269</v>
      </c>
      <c r="M43" s="2" t="s">
        <v>24</v>
      </c>
      <c r="N43" s="2">
        <v>1596795</v>
      </c>
      <c r="O43" s="2" t="s">
        <v>25</v>
      </c>
      <c r="P43" s="5" t="str">
        <f t="shared" si="0"/>
        <v>2023-12</v>
      </c>
      <c r="Q43">
        <f t="shared" si="1"/>
        <v>-58285.919999999998</v>
      </c>
      <c r="R43">
        <f t="shared" si="2"/>
        <v>0</v>
      </c>
      <c r="S43" t="str">
        <f t="shared" si="3"/>
        <v>Cash-Based</v>
      </c>
      <c r="T43" t="str">
        <f t="shared" si="4"/>
        <v>One-Time User</v>
      </c>
    </row>
    <row r="44" spans="1:20" ht="15.75" customHeight="1" x14ac:dyDescent="0.3">
      <c r="A44" s="2" t="s">
        <v>164</v>
      </c>
      <c r="B44" s="2">
        <v>634610</v>
      </c>
      <c r="C44" s="2" t="s">
        <v>165</v>
      </c>
      <c r="D44" s="2">
        <v>707104940908</v>
      </c>
      <c r="E44" s="2" t="s">
        <v>64</v>
      </c>
      <c r="F44" s="2" t="s">
        <v>166</v>
      </c>
      <c r="G44" s="2" t="s">
        <v>167</v>
      </c>
      <c r="H44" s="2" t="s">
        <v>67</v>
      </c>
      <c r="I44" s="2" t="s">
        <v>38</v>
      </c>
      <c r="J44" s="2">
        <v>143215.06</v>
      </c>
      <c r="K44" s="2" t="s">
        <v>23</v>
      </c>
      <c r="L44" s="3">
        <v>45488</v>
      </c>
      <c r="M44" s="2" t="s">
        <v>168</v>
      </c>
      <c r="N44" s="2">
        <v>1345360.8</v>
      </c>
      <c r="O44" s="2" t="s">
        <v>25</v>
      </c>
      <c r="P44" s="5" t="str">
        <f t="shared" si="0"/>
        <v>2024-07</v>
      </c>
      <c r="Q44">
        <f t="shared" si="1"/>
        <v>-143215.06</v>
      </c>
      <c r="R44">
        <f t="shared" si="2"/>
        <v>0</v>
      </c>
      <c r="S44" t="str">
        <f t="shared" si="3"/>
        <v>Digital</v>
      </c>
      <c r="T44" t="str">
        <f t="shared" si="4"/>
        <v>One-Time User</v>
      </c>
    </row>
    <row r="45" spans="1:20" ht="15.75" customHeight="1" x14ac:dyDescent="0.3">
      <c r="A45" s="2" t="s">
        <v>169</v>
      </c>
      <c r="B45" s="2">
        <v>378722</v>
      </c>
      <c r="C45" s="2" t="s">
        <v>170</v>
      </c>
      <c r="D45" s="2">
        <v>327507559769</v>
      </c>
      <c r="E45" s="2" t="s">
        <v>35</v>
      </c>
      <c r="F45" s="2" t="s">
        <v>36</v>
      </c>
      <c r="G45" s="2" t="s">
        <v>37</v>
      </c>
      <c r="H45" s="2" t="s">
        <v>70</v>
      </c>
      <c r="I45" s="2" t="s">
        <v>38</v>
      </c>
      <c r="J45" s="2">
        <v>53733.54</v>
      </c>
      <c r="K45" s="2" t="s">
        <v>49</v>
      </c>
      <c r="L45" s="3">
        <v>45438</v>
      </c>
      <c r="M45" s="2" t="s">
        <v>24</v>
      </c>
      <c r="N45" s="2">
        <v>52500.329999999987</v>
      </c>
      <c r="O45" s="2" t="s">
        <v>25</v>
      </c>
      <c r="P45" s="5" t="str">
        <f t="shared" si="0"/>
        <v>2024-05</v>
      </c>
      <c r="Q45">
        <f t="shared" si="1"/>
        <v>-53733.54</v>
      </c>
      <c r="R45">
        <f t="shared" si="2"/>
        <v>0</v>
      </c>
      <c r="S45" t="str">
        <f t="shared" si="3"/>
        <v>Cash-Based</v>
      </c>
      <c r="T45" t="str">
        <f t="shared" si="4"/>
        <v>One-Time User</v>
      </c>
    </row>
    <row r="46" spans="1:20" ht="15.75" customHeight="1" x14ac:dyDescent="0.3">
      <c r="A46" s="2" t="s">
        <v>171</v>
      </c>
      <c r="B46" s="2">
        <v>870934</v>
      </c>
      <c r="C46" s="2" t="s">
        <v>172</v>
      </c>
      <c r="D46" s="2">
        <v>982037976790</v>
      </c>
      <c r="E46" s="2" t="s">
        <v>91</v>
      </c>
      <c r="F46" s="2" t="s">
        <v>109</v>
      </c>
      <c r="G46" s="2" t="s">
        <v>110</v>
      </c>
      <c r="H46" s="2" t="s">
        <v>21</v>
      </c>
      <c r="I46" s="2" t="s">
        <v>22</v>
      </c>
      <c r="J46" s="2">
        <v>334428.89</v>
      </c>
      <c r="K46" s="2" t="s">
        <v>32</v>
      </c>
      <c r="L46" s="3">
        <v>45151</v>
      </c>
      <c r="M46" s="2" t="s">
        <v>24</v>
      </c>
      <c r="N46" s="2">
        <v>1019397.23</v>
      </c>
      <c r="O46" s="2" t="s">
        <v>25</v>
      </c>
      <c r="P46" s="5" t="str">
        <f t="shared" si="0"/>
        <v>2023-08</v>
      </c>
      <c r="Q46">
        <f t="shared" si="1"/>
        <v>334428.89</v>
      </c>
      <c r="R46">
        <f t="shared" si="2"/>
        <v>0</v>
      </c>
      <c r="S46" t="str">
        <f t="shared" si="3"/>
        <v>Cash-Based</v>
      </c>
      <c r="T46" t="str">
        <f t="shared" si="4"/>
        <v>One-Time User</v>
      </c>
    </row>
    <row r="47" spans="1:20" ht="15.75" customHeight="1" x14ac:dyDescent="0.3">
      <c r="A47" s="2" t="s">
        <v>173</v>
      </c>
      <c r="B47" s="2">
        <v>545234</v>
      </c>
      <c r="C47" s="2" t="s">
        <v>174</v>
      </c>
      <c r="D47" s="2">
        <v>702697254640</v>
      </c>
      <c r="E47" s="2" t="s">
        <v>64</v>
      </c>
      <c r="F47" s="2" t="s">
        <v>166</v>
      </c>
      <c r="G47" s="2" t="s">
        <v>167</v>
      </c>
      <c r="H47" s="2" t="s">
        <v>31</v>
      </c>
      <c r="I47" s="2" t="s">
        <v>22</v>
      </c>
      <c r="J47" s="2">
        <v>239589.03</v>
      </c>
      <c r="K47" s="2" t="s">
        <v>49</v>
      </c>
      <c r="L47" s="3">
        <v>45186</v>
      </c>
      <c r="M47" s="2" t="s">
        <v>24</v>
      </c>
      <c r="N47" s="2">
        <v>1886842.96</v>
      </c>
      <c r="O47" s="2" t="s">
        <v>25</v>
      </c>
      <c r="P47" s="5" t="str">
        <f t="shared" si="0"/>
        <v>2023-09</v>
      </c>
      <c r="Q47">
        <f t="shared" si="1"/>
        <v>239589.03</v>
      </c>
      <c r="R47">
        <f t="shared" si="2"/>
        <v>0</v>
      </c>
      <c r="S47" t="str">
        <f t="shared" si="3"/>
        <v>Cash-Based</v>
      </c>
      <c r="T47" t="str">
        <f t="shared" si="4"/>
        <v>One-Time User</v>
      </c>
    </row>
    <row r="48" spans="1:20" ht="15.75" customHeight="1" x14ac:dyDescent="0.3">
      <c r="A48" s="2" t="s">
        <v>175</v>
      </c>
      <c r="B48" s="2">
        <v>282725</v>
      </c>
      <c r="C48" s="2" t="s">
        <v>176</v>
      </c>
      <c r="D48" s="2">
        <v>590927660148</v>
      </c>
      <c r="E48" s="2" t="s">
        <v>64</v>
      </c>
      <c r="F48" s="2" t="s">
        <v>177</v>
      </c>
      <c r="G48" s="2" t="s">
        <v>178</v>
      </c>
      <c r="H48" s="2" t="s">
        <v>21</v>
      </c>
      <c r="I48" s="2" t="s">
        <v>53</v>
      </c>
      <c r="J48" s="2">
        <v>228752.03</v>
      </c>
      <c r="K48" s="2" t="s">
        <v>32</v>
      </c>
      <c r="L48" s="3">
        <v>45348</v>
      </c>
      <c r="M48" s="2" t="s">
        <v>24</v>
      </c>
      <c r="N48" s="2">
        <v>1606533</v>
      </c>
      <c r="O48" s="2" t="s">
        <v>179</v>
      </c>
      <c r="P48" s="5" t="str">
        <f t="shared" si="0"/>
        <v>2024-02</v>
      </c>
      <c r="Q48">
        <f t="shared" si="1"/>
        <v>228752.03</v>
      </c>
      <c r="R48">
        <f t="shared" si="2"/>
        <v>1</v>
      </c>
      <c r="S48" t="str">
        <f t="shared" si="3"/>
        <v>Cash-Based</v>
      </c>
      <c r="T48" t="str">
        <f t="shared" si="4"/>
        <v>One-Time User</v>
      </c>
    </row>
    <row r="49" spans="1:20" ht="15.75" customHeight="1" x14ac:dyDescent="0.3">
      <c r="A49" s="2" t="s">
        <v>180</v>
      </c>
      <c r="B49" s="2">
        <v>798832</v>
      </c>
      <c r="C49" s="2" t="s">
        <v>181</v>
      </c>
      <c r="D49" s="2">
        <v>366996690919</v>
      </c>
      <c r="E49" s="2" t="s">
        <v>64</v>
      </c>
      <c r="F49" s="2" t="s">
        <v>65</v>
      </c>
      <c r="G49" s="2" t="s">
        <v>66</v>
      </c>
      <c r="H49" s="2" t="s">
        <v>21</v>
      </c>
      <c r="I49" s="2" t="s">
        <v>53</v>
      </c>
      <c r="J49" s="2">
        <v>228603.21</v>
      </c>
      <c r="K49" s="2" t="s">
        <v>32</v>
      </c>
      <c r="L49" s="3">
        <v>45128</v>
      </c>
      <c r="M49" s="2" t="s">
        <v>24</v>
      </c>
      <c r="N49" s="2">
        <v>430998.17</v>
      </c>
      <c r="O49" s="2" t="s">
        <v>25</v>
      </c>
      <c r="P49" s="5" t="str">
        <f t="shared" si="0"/>
        <v>2023-07</v>
      </c>
      <c r="Q49">
        <f t="shared" si="1"/>
        <v>228603.21</v>
      </c>
      <c r="R49">
        <f t="shared" si="2"/>
        <v>0</v>
      </c>
      <c r="S49" t="str">
        <f t="shared" si="3"/>
        <v>Cash-Based</v>
      </c>
      <c r="T49" t="str">
        <f t="shared" si="4"/>
        <v>One-Time User</v>
      </c>
    </row>
    <row r="50" spans="1:20" ht="15.75" customHeight="1" x14ac:dyDescent="0.3">
      <c r="A50" s="2" t="s">
        <v>182</v>
      </c>
      <c r="B50" s="2">
        <v>693194</v>
      </c>
      <c r="C50" s="2" t="s">
        <v>183</v>
      </c>
      <c r="D50" s="2">
        <v>715222997316</v>
      </c>
      <c r="E50" s="2" t="s">
        <v>28</v>
      </c>
      <c r="F50" s="2" t="s">
        <v>79</v>
      </c>
      <c r="G50" s="2" t="s">
        <v>80</v>
      </c>
      <c r="H50" s="2" t="s">
        <v>31</v>
      </c>
      <c r="I50" s="2" t="s">
        <v>53</v>
      </c>
      <c r="J50" s="2">
        <v>241180.65</v>
      </c>
      <c r="K50" s="2" t="s">
        <v>32</v>
      </c>
      <c r="L50" s="3">
        <v>45258</v>
      </c>
      <c r="M50" s="2" t="s">
        <v>24</v>
      </c>
      <c r="N50" s="2">
        <v>820338.34</v>
      </c>
      <c r="O50" s="2" t="s">
        <v>25</v>
      </c>
      <c r="P50" s="5" t="str">
        <f t="shared" si="0"/>
        <v>2023-11</v>
      </c>
      <c r="Q50">
        <f t="shared" si="1"/>
        <v>241180.65</v>
      </c>
      <c r="R50">
        <f t="shared" si="2"/>
        <v>0</v>
      </c>
      <c r="S50" t="str">
        <f t="shared" si="3"/>
        <v>Cash-Based</v>
      </c>
      <c r="T50" t="str">
        <f t="shared" si="4"/>
        <v>One-Time User</v>
      </c>
    </row>
    <row r="51" spans="1:20" ht="15.75" customHeight="1" x14ac:dyDescent="0.3">
      <c r="A51" s="2" t="s">
        <v>184</v>
      </c>
      <c r="B51" s="2">
        <v>178161</v>
      </c>
      <c r="C51" s="2" t="s">
        <v>185</v>
      </c>
      <c r="D51" s="2">
        <v>850425096741</v>
      </c>
      <c r="E51" s="2" t="s">
        <v>18</v>
      </c>
      <c r="F51" s="2" t="s">
        <v>56</v>
      </c>
      <c r="G51" s="2" t="s">
        <v>57</v>
      </c>
      <c r="H51" s="2" t="s">
        <v>70</v>
      </c>
      <c r="I51" s="2" t="s">
        <v>53</v>
      </c>
      <c r="J51" s="2">
        <v>181478.37</v>
      </c>
      <c r="K51" s="2" t="s">
        <v>23</v>
      </c>
      <c r="L51" s="3">
        <v>45259</v>
      </c>
      <c r="M51" s="2" t="s">
        <v>24</v>
      </c>
      <c r="N51" s="2">
        <v>1640818.48</v>
      </c>
      <c r="O51" s="2" t="s">
        <v>25</v>
      </c>
      <c r="P51" s="5" t="str">
        <f t="shared" si="0"/>
        <v>2023-11</v>
      </c>
      <c r="Q51">
        <f t="shared" si="1"/>
        <v>181478.37</v>
      </c>
      <c r="R51">
        <f t="shared" si="2"/>
        <v>0</v>
      </c>
      <c r="S51" t="str">
        <f t="shared" si="3"/>
        <v>Digital</v>
      </c>
      <c r="T51" t="str">
        <f t="shared" si="4"/>
        <v>One-Time User</v>
      </c>
    </row>
    <row r="52" spans="1:20" ht="15.75" customHeight="1" x14ac:dyDescent="0.3">
      <c r="A52" s="2" t="s">
        <v>186</v>
      </c>
      <c r="B52" s="2">
        <v>945986</v>
      </c>
      <c r="C52" s="2" t="s">
        <v>187</v>
      </c>
      <c r="D52" s="2">
        <v>316273586448</v>
      </c>
      <c r="E52" s="2" t="s">
        <v>64</v>
      </c>
      <c r="F52" s="2" t="s">
        <v>65</v>
      </c>
      <c r="G52" s="2" t="s">
        <v>66</v>
      </c>
      <c r="H52" s="2" t="s">
        <v>67</v>
      </c>
      <c r="I52" s="2" t="s">
        <v>48</v>
      </c>
      <c r="J52" s="2">
        <v>273414.65999999997</v>
      </c>
      <c r="K52" s="2" t="s">
        <v>32</v>
      </c>
      <c r="L52" s="3">
        <v>45712</v>
      </c>
      <c r="M52" s="2" t="s">
        <v>168</v>
      </c>
      <c r="N52" s="2">
        <v>673253.87</v>
      </c>
      <c r="O52" s="2" t="s">
        <v>25</v>
      </c>
      <c r="P52" s="5" t="str">
        <f t="shared" si="0"/>
        <v>2025-02</v>
      </c>
      <c r="Q52">
        <f t="shared" si="1"/>
        <v>273414.65999999997</v>
      </c>
      <c r="R52">
        <f t="shared" si="2"/>
        <v>0</v>
      </c>
      <c r="S52" t="str">
        <f t="shared" si="3"/>
        <v>Cash-Based</v>
      </c>
      <c r="T52" t="str">
        <f t="shared" si="4"/>
        <v>One-Time User</v>
      </c>
    </row>
    <row r="53" spans="1:20" ht="15.75" customHeight="1" x14ac:dyDescent="0.3">
      <c r="A53" s="2" t="s">
        <v>188</v>
      </c>
      <c r="B53" s="2">
        <v>969262</v>
      </c>
      <c r="C53" s="2" t="s">
        <v>189</v>
      </c>
      <c r="D53" s="2">
        <v>593004841860</v>
      </c>
      <c r="E53" s="2" t="s">
        <v>18</v>
      </c>
      <c r="F53" s="2" t="s">
        <v>56</v>
      </c>
      <c r="G53" s="2" t="s">
        <v>57</v>
      </c>
      <c r="H53" s="2" t="s">
        <v>70</v>
      </c>
      <c r="I53" s="2" t="s">
        <v>38</v>
      </c>
      <c r="J53" s="2">
        <v>17312.52</v>
      </c>
      <c r="K53" s="2" t="s">
        <v>23</v>
      </c>
      <c r="L53" s="3">
        <v>45798</v>
      </c>
      <c r="M53" s="2" t="s">
        <v>24</v>
      </c>
      <c r="N53" s="2">
        <v>988997.22</v>
      </c>
      <c r="O53" s="2" t="s">
        <v>179</v>
      </c>
      <c r="P53" s="5" t="str">
        <f t="shared" si="0"/>
        <v>2025-05</v>
      </c>
      <c r="Q53">
        <f t="shared" si="1"/>
        <v>-17312.52</v>
      </c>
      <c r="R53">
        <f t="shared" si="2"/>
        <v>1</v>
      </c>
      <c r="S53" t="str">
        <f t="shared" si="3"/>
        <v>Digital</v>
      </c>
      <c r="T53" t="str">
        <f t="shared" si="4"/>
        <v>One-Time User</v>
      </c>
    </row>
    <row r="54" spans="1:20" ht="15.75" customHeight="1" x14ac:dyDescent="0.3">
      <c r="A54" s="2" t="s">
        <v>190</v>
      </c>
      <c r="B54" s="2">
        <v>624419</v>
      </c>
      <c r="C54" s="2" t="s">
        <v>191</v>
      </c>
      <c r="D54" s="2">
        <v>315927510709</v>
      </c>
      <c r="E54" s="2" t="s">
        <v>28</v>
      </c>
      <c r="F54" s="2" t="s">
        <v>192</v>
      </c>
      <c r="G54" s="2" t="s">
        <v>193</v>
      </c>
      <c r="H54" s="2" t="s">
        <v>21</v>
      </c>
      <c r="I54" s="2" t="s">
        <v>22</v>
      </c>
      <c r="J54" s="2">
        <v>320272.01</v>
      </c>
      <c r="K54" s="2" t="s">
        <v>23</v>
      </c>
      <c r="L54" s="3">
        <v>45153</v>
      </c>
      <c r="M54" s="2" t="s">
        <v>24</v>
      </c>
      <c r="N54" s="2">
        <v>855697.4</v>
      </c>
      <c r="O54" s="2" t="s">
        <v>25</v>
      </c>
      <c r="P54" s="5" t="str">
        <f t="shared" si="0"/>
        <v>2023-08</v>
      </c>
      <c r="Q54">
        <f t="shared" si="1"/>
        <v>320272.01</v>
      </c>
      <c r="R54">
        <f t="shared" si="2"/>
        <v>0</v>
      </c>
      <c r="S54" t="str">
        <f t="shared" si="3"/>
        <v>Digital</v>
      </c>
      <c r="T54" t="str">
        <f t="shared" si="4"/>
        <v>One-Time User</v>
      </c>
    </row>
    <row r="55" spans="1:20" ht="15.75" customHeight="1" x14ac:dyDescent="0.3">
      <c r="A55" s="2" t="s">
        <v>194</v>
      </c>
      <c r="B55" s="2">
        <v>690301</v>
      </c>
      <c r="C55" s="2" t="s">
        <v>195</v>
      </c>
      <c r="D55" s="2">
        <v>726575855284</v>
      </c>
      <c r="E55" s="2" t="s">
        <v>28</v>
      </c>
      <c r="F55" s="2" t="s">
        <v>79</v>
      </c>
      <c r="G55" s="2" t="s">
        <v>80</v>
      </c>
      <c r="H55" s="2" t="s">
        <v>31</v>
      </c>
      <c r="I55" s="2" t="s">
        <v>53</v>
      </c>
      <c r="J55" s="2">
        <v>72231.47</v>
      </c>
      <c r="K55" s="2" t="s">
        <v>49</v>
      </c>
      <c r="L55" s="3">
        <v>45492</v>
      </c>
      <c r="M55" s="2" t="s">
        <v>24</v>
      </c>
      <c r="N55" s="2">
        <v>1904363.29</v>
      </c>
      <c r="O55" s="2" t="s">
        <v>25</v>
      </c>
      <c r="P55" s="5" t="str">
        <f t="shared" si="0"/>
        <v>2024-07</v>
      </c>
      <c r="Q55">
        <f t="shared" si="1"/>
        <v>72231.47</v>
      </c>
      <c r="R55">
        <f t="shared" si="2"/>
        <v>0</v>
      </c>
      <c r="S55" t="str">
        <f t="shared" si="3"/>
        <v>Cash-Based</v>
      </c>
      <c r="T55" t="str">
        <f t="shared" si="4"/>
        <v>One-Time User</v>
      </c>
    </row>
    <row r="56" spans="1:20" ht="15.75" customHeight="1" x14ac:dyDescent="0.3">
      <c r="A56" s="2" t="s">
        <v>196</v>
      </c>
      <c r="B56" s="2">
        <v>247721</v>
      </c>
      <c r="C56" s="2" t="s">
        <v>197</v>
      </c>
      <c r="D56" s="2">
        <v>388988910146</v>
      </c>
      <c r="E56" s="2" t="s">
        <v>35</v>
      </c>
      <c r="F56" s="2" t="s">
        <v>73</v>
      </c>
      <c r="G56" s="2" t="s">
        <v>74</v>
      </c>
      <c r="H56" s="2" t="s">
        <v>21</v>
      </c>
      <c r="I56" s="2" t="s">
        <v>38</v>
      </c>
      <c r="J56" s="2">
        <v>27223.82</v>
      </c>
      <c r="K56" s="2" t="s">
        <v>32</v>
      </c>
      <c r="L56" s="3">
        <v>45595</v>
      </c>
      <c r="M56" s="2" t="s">
        <v>24</v>
      </c>
      <c r="N56" s="2">
        <v>1584338.01</v>
      </c>
      <c r="O56" s="2" t="s">
        <v>25</v>
      </c>
      <c r="P56" s="5" t="str">
        <f t="shared" si="0"/>
        <v>2024-10</v>
      </c>
      <c r="Q56">
        <f t="shared" si="1"/>
        <v>-27223.82</v>
      </c>
      <c r="R56">
        <f t="shared" si="2"/>
        <v>0</v>
      </c>
      <c r="S56" t="str">
        <f t="shared" si="3"/>
        <v>Cash-Based</v>
      </c>
      <c r="T56" t="str">
        <f t="shared" si="4"/>
        <v>One-Time User</v>
      </c>
    </row>
    <row r="57" spans="1:20" ht="15.75" customHeight="1" x14ac:dyDescent="0.3">
      <c r="A57" s="2" t="s">
        <v>198</v>
      </c>
      <c r="B57" s="2">
        <v>752827</v>
      </c>
      <c r="C57" s="2" t="s">
        <v>199</v>
      </c>
      <c r="D57" s="2">
        <v>755637196899</v>
      </c>
      <c r="E57" s="2" t="s">
        <v>18</v>
      </c>
      <c r="F57" s="2" t="s">
        <v>46</v>
      </c>
      <c r="G57" s="2" t="s">
        <v>47</v>
      </c>
      <c r="H57" s="2" t="s">
        <v>21</v>
      </c>
      <c r="I57" s="2" t="s">
        <v>38</v>
      </c>
      <c r="J57" s="2">
        <v>94133.21</v>
      </c>
      <c r="K57" s="2" t="s">
        <v>23</v>
      </c>
      <c r="L57" s="3">
        <v>45804</v>
      </c>
      <c r="M57" s="2" t="s">
        <v>50</v>
      </c>
      <c r="N57" s="2">
        <v>545204.92000000004</v>
      </c>
      <c r="O57" s="2" t="s">
        <v>25</v>
      </c>
      <c r="P57" s="5" t="str">
        <f t="shared" si="0"/>
        <v>2025-05</v>
      </c>
      <c r="Q57">
        <f t="shared" si="1"/>
        <v>-94133.21</v>
      </c>
      <c r="R57">
        <f t="shared" si="2"/>
        <v>0</v>
      </c>
      <c r="S57" t="str">
        <f t="shared" si="3"/>
        <v>Digital</v>
      </c>
      <c r="T57" t="str">
        <f t="shared" si="4"/>
        <v>One-Time User</v>
      </c>
    </row>
    <row r="58" spans="1:20" ht="15.75" customHeight="1" x14ac:dyDescent="0.3">
      <c r="A58" s="2" t="s">
        <v>200</v>
      </c>
      <c r="B58" s="2">
        <v>407754</v>
      </c>
      <c r="C58" s="2" t="s">
        <v>201</v>
      </c>
      <c r="D58" s="2">
        <v>170246566065</v>
      </c>
      <c r="E58" s="2" t="s">
        <v>64</v>
      </c>
      <c r="F58" s="2" t="s">
        <v>177</v>
      </c>
      <c r="G58" s="2" t="s">
        <v>178</v>
      </c>
      <c r="H58" s="2" t="s">
        <v>67</v>
      </c>
      <c r="I58" s="2" t="s">
        <v>53</v>
      </c>
      <c r="J58" s="2">
        <v>176352.05</v>
      </c>
      <c r="K58" s="2" t="s">
        <v>32</v>
      </c>
      <c r="L58" s="3">
        <v>45662</v>
      </c>
      <c r="M58" s="2" t="s">
        <v>24</v>
      </c>
      <c r="N58" s="2">
        <v>1754863.47</v>
      </c>
      <c r="O58" s="2" t="s">
        <v>25</v>
      </c>
      <c r="P58" s="5" t="str">
        <f t="shared" si="0"/>
        <v>2025-01</v>
      </c>
      <c r="Q58">
        <f t="shared" si="1"/>
        <v>176352.05</v>
      </c>
      <c r="R58">
        <f t="shared" si="2"/>
        <v>0</v>
      </c>
      <c r="S58" t="str">
        <f t="shared" si="3"/>
        <v>Cash-Based</v>
      </c>
      <c r="T58" t="str">
        <f t="shared" si="4"/>
        <v>One-Time User</v>
      </c>
    </row>
    <row r="59" spans="1:20" ht="15.75" customHeight="1" x14ac:dyDescent="0.3">
      <c r="A59" s="2" t="s">
        <v>202</v>
      </c>
      <c r="B59" s="2">
        <v>567798</v>
      </c>
      <c r="C59" s="2" t="s">
        <v>203</v>
      </c>
      <c r="D59" s="2">
        <v>582149472587</v>
      </c>
      <c r="E59" s="2" t="s">
        <v>35</v>
      </c>
      <c r="F59" s="2" t="s">
        <v>73</v>
      </c>
      <c r="G59" s="2" t="s">
        <v>74</v>
      </c>
      <c r="H59" s="2" t="s">
        <v>67</v>
      </c>
      <c r="I59" s="2" t="s">
        <v>48</v>
      </c>
      <c r="J59" s="2">
        <v>125796.18</v>
      </c>
      <c r="K59" s="2" t="s">
        <v>49</v>
      </c>
      <c r="L59" s="3">
        <v>45518</v>
      </c>
      <c r="M59" s="2" t="s">
        <v>168</v>
      </c>
      <c r="N59" s="2">
        <v>310897.05</v>
      </c>
      <c r="O59" s="2" t="s">
        <v>25</v>
      </c>
      <c r="P59" s="5" t="str">
        <f t="shared" si="0"/>
        <v>2024-08</v>
      </c>
      <c r="Q59">
        <f t="shared" si="1"/>
        <v>125796.18</v>
      </c>
      <c r="R59">
        <f t="shared" si="2"/>
        <v>0</v>
      </c>
      <c r="S59" t="str">
        <f t="shared" si="3"/>
        <v>Cash-Based</v>
      </c>
      <c r="T59" t="str">
        <f t="shared" si="4"/>
        <v>One-Time User</v>
      </c>
    </row>
    <row r="60" spans="1:20" ht="15.75" customHeight="1" x14ac:dyDescent="0.3">
      <c r="A60" s="2" t="s">
        <v>204</v>
      </c>
      <c r="B60" s="2">
        <v>552695</v>
      </c>
      <c r="C60" s="2" t="s">
        <v>205</v>
      </c>
      <c r="D60" s="2">
        <v>604716561890</v>
      </c>
      <c r="E60" s="2" t="s">
        <v>18</v>
      </c>
      <c r="F60" s="2" t="s">
        <v>156</v>
      </c>
      <c r="G60" s="2" t="s">
        <v>157</v>
      </c>
      <c r="H60" s="2" t="s">
        <v>70</v>
      </c>
      <c r="I60" s="2" t="s">
        <v>53</v>
      </c>
      <c r="J60" s="2">
        <v>450326.06</v>
      </c>
      <c r="K60" s="2" t="s">
        <v>98</v>
      </c>
      <c r="L60" s="3">
        <v>45651</v>
      </c>
      <c r="M60" s="2" t="s">
        <v>24</v>
      </c>
      <c r="N60" s="2">
        <v>686226.5</v>
      </c>
      <c r="O60" s="2" t="s">
        <v>25</v>
      </c>
      <c r="P60" s="5" t="str">
        <f t="shared" si="0"/>
        <v>2024-12</v>
      </c>
      <c r="Q60">
        <f t="shared" si="1"/>
        <v>450326.06</v>
      </c>
      <c r="R60">
        <f t="shared" si="2"/>
        <v>0</v>
      </c>
      <c r="S60" t="str">
        <f t="shared" si="3"/>
        <v>Cash-Based</v>
      </c>
      <c r="T60" t="str">
        <f t="shared" si="4"/>
        <v>One-Time User</v>
      </c>
    </row>
    <row r="61" spans="1:20" ht="15.75" customHeight="1" x14ac:dyDescent="0.3">
      <c r="A61" s="2" t="s">
        <v>206</v>
      </c>
      <c r="B61" s="2">
        <v>683741</v>
      </c>
      <c r="C61" s="2" t="s">
        <v>207</v>
      </c>
      <c r="D61" s="2">
        <v>930540134859</v>
      </c>
      <c r="E61" s="2" t="s">
        <v>28</v>
      </c>
      <c r="F61" s="2" t="s">
        <v>192</v>
      </c>
      <c r="G61" s="2" t="s">
        <v>193</v>
      </c>
      <c r="H61" s="2" t="s">
        <v>70</v>
      </c>
      <c r="I61" s="2" t="s">
        <v>22</v>
      </c>
      <c r="J61" s="2">
        <v>511661.67</v>
      </c>
      <c r="K61" s="2" t="s">
        <v>32</v>
      </c>
      <c r="L61" s="3">
        <v>45415</v>
      </c>
      <c r="M61" s="2" t="s">
        <v>24</v>
      </c>
      <c r="N61" s="2">
        <v>613016.15</v>
      </c>
      <c r="O61" s="2" t="s">
        <v>25</v>
      </c>
      <c r="P61" s="5" t="str">
        <f t="shared" si="0"/>
        <v>2024-05</v>
      </c>
      <c r="Q61">
        <f t="shared" si="1"/>
        <v>511661.67</v>
      </c>
      <c r="R61">
        <f t="shared" si="2"/>
        <v>0</v>
      </c>
      <c r="S61" t="str">
        <f t="shared" si="3"/>
        <v>Cash-Based</v>
      </c>
      <c r="T61" t="str">
        <f t="shared" si="4"/>
        <v>One-Time User</v>
      </c>
    </row>
    <row r="62" spans="1:20" ht="15.75" customHeight="1" x14ac:dyDescent="0.3">
      <c r="A62" s="2" t="s">
        <v>208</v>
      </c>
      <c r="B62" s="2">
        <v>553618</v>
      </c>
      <c r="C62" s="2" t="s">
        <v>209</v>
      </c>
      <c r="D62" s="2">
        <v>667033396764</v>
      </c>
      <c r="E62" s="2" t="s">
        <v>18</v>
      </c>
      <c r="F62" s="2" t="s">
        <v>56</v>
      </c>
      <c r="G62" s="2" t="s">
        <v>57</v>
      </c>
      <c r="H62" s="2" t="s">
        <v>21</v>
      </c>
      <c r="I62" s="2" t="s">
        <v>53</v>
      </c>
      <c r="J62" s="2">
        <v>188748.49</v>
      </c>
      <c r="K62" s="2" t="s">
        <v>32</v>
      </c>
      <c r="L62" s="3">
        <v>45698</v>
      </c>
      <c r="M62" s="2" t="s">
        <v>24</v>
      </c>
      <c r="N62" s="2">
        <v>631156.77</v>
      </c>
      <c r="O62" s="2" t="s">
        <v>25</v>
      </c>
      <c r="P62" s="5" t="str">
        <f t="shared" si="0"/>
        <v>2025-02</v>
      </c>
      <c r="Q62">
        <f t="shared" si="1"/>
        <v>188748.49</v>
      </c>
      <c r="R62">
        <f t="shared" si="2"/>
        <v>0</v>
      </c>
      <c r="S62" t="str">
        <f t="shared" si="3"/>
        <v>Cash-Based</v>
      </c>
      <c r="T62" t="str">
        <f t="shared" si="4"/>
        <v>One-Time User</v>
      </c>
    </row>
    <row r="63" spans="1:20" ht="15.75" customHeight="1" x14ac:dyDescent="0.3">
      <c r="A63" s="2" t="s">
        <v>210</v>
      </c>
      <c r="B63" s="2">
        <v>883947</v>
      </c>
      <c r="C63" s="2" t="s">
        <v>211</v>
      </c>
      <c r="D63" s="2">
        <v>261079556384</v>
      </c>
      <c r="E63" s="2" t="s">
        <v>64</v>
      </c>
      <c r="F63" s="2" t="s">
        <v>177</v>
      </c>
      <c r="G63" s="2" t="s">
        <v>178</v>
      </c>
      <c r="H63" s="2" t="s">
        <v>31</v>
      </c>
      <c r="I63" s="2" t="s">
        <v>53</v>
      </c>
      <c r="J63" s="2">
        <v>336060.86</v>
      </c>
      <c r="K63" s="2" t="s">
        <v>49</v>
      </c>
      <c r="L63" s="3">
        <v>45581</v>
      </c>
      <c r="M63" s="2" t="s">
        <v>24</v>
      </c>
      <c r="N63" s="2">
        <v>501511.86</v>
      </c>
      <c r="O63" s="2" t="s">
        <v>25</v>
      </c>
      <c r="P63" s="5" t="str">
        <f t="shared" si="0"/>
        <v>2024-10</v>
      </c>
      <c r="Q63">
        <f t="shared" si="1"/>
        <v>336060.86</v>
      </c>
      <c r="R63">
        <f t="shared" si="2"/>
        <v>0</v>
      </c>
      <c r="S63" t="str">
        <f t="shared" si="3"/>
        <v>Cash-Based</v>
      </c>
      <c r="T63" t="str">
        <f t="shared" si="4"/>
        <v>One-Time User</v>
      </c>
    </row>
    <row r="64" spans="1:20" ht="15.75" customHeight="1" x14ac:dyDescent="0.3">
      <c r="A64" s="2" t="s">
        <v>212</v>
      </c>
      <c r="B64" s="2">
        <v>561029</v>
      </c>
      <c r="C64" s="2" t="s">
        <v>213</v>
      </c>
      <c r="D64" s="2">
        <v>160461931506</v>
      </c>
      <c r="E64" s="2" t="s">
        <v>64</v>
      </c>
      <c r="F64" s="2" t="s">
        <v>65</v>
      </c>
      <c r="G64" s="2" t="s">
        <v>66</v>
      </c>
      <c r="H64" s="2" t="s">
        <v>31</v>
      </c>
      <c r="I64" s="2" t="s">
        <v>38</v>
      </c>
      <c r="J64" s="2">
        <v>62046.95</v>
      </c>
      <c r="K64" s="2" t="s">
        <v>98</v>
      </c>
      <c r="L64" s="3">
        <v>45666</v>
      </c>
      <c r="M64" s="2" t="s">
        <v>168</v>
      </c>
      <c r="N64" s="2">
        <v>375954.72</v>
      </c>
      <c r="O64" s="2" t="s">
        <v>25</v>
      </c>
      <c r="P64" s="5" t="str">
        <f t="shared" si="0"/>
        <v>2025-01</v>
      </c>
      <c r="Q64">
        <f t="shared" si="1"/>
        <v>-62046.95</v>
      </c>
      <c r="R64">
        <f t="shared" si="2"/>
        <v>0</v>
      </c>
      <c r="S64" t="str">
        <f t="shared" si="3"/>
        <v>Cash-Based</v>
      </c>
      <c r="T64" t="str">
        <f t="shared" si="4"/>
        <v>One-Time User</v>
      </c>
    </row>
    <row r="65" spans="1:20" ht="15.75" customHeight="1" x14ac:dyDescent="0.3">
      <c r="A65" s="2" t="s">
        <v>214</v>
      </c>
      <c r="B65" s="2">
        <v>123451</v>
      </c>
      <c r="C65" s="2" t="s">
        <v>215</v>
      </c>
      <c r="D65" s="2">
        <v>775194651628</v>
      </c>
      <c r="E65" s="2" t="s">
        <v>28</v>
      </c>
      <c r="F65" s="2" t="s">
        <v>216</v>
      </c>
      <c r="G65" s="2" t="s">
        <v>217</v>
      </c>
      <c r="H65" s="2" t="s">
        <v>67</v>
      </c>
      <c r="I65" s="2" t="s">
        <v>48</v>
      </c>
      <c r="J65" s="2">
        <v>186460.63</v>
      </c>
      <c r="K65" s="2" t="s">
        <v>39</v>
      </c>
      <c r="L65" s="3">
        <v>45357</v>
      </c>
      <c r="M65" s="2" t="s">
        <v>113</v>
      </c>
      <c r="N65" s="2">
        <v>687831.58000000007</v>
      </c>
      <c r="O65" s="2" t="s">
        <v>25</v>
      </c>
      <c r="P65" s="5" t="str">
        <f t="shared" si="0"/>
        <v>2024-03</v>
      </c>
      <c r="Q65">
        <f t="shared" si="1"/>
        <v>186460.63</v>
      </c>
      <c r="R65">
        <f t="shared" si="2"/>
        <v>0</v>
      </c>
      <c r="S65" t="str">
        <f t="shared" si="3"/>
        <v>Cash-Based</v>
      </c>
      <c r="T65" t="str">
        <f t="shared" si="4"/>
        <v>One-Time User</v>
      </c>
    </row>
    <row r="66" spans="1:20" ht="15.75" customHeight="1" x14ac:dyDescent="0.3">
      <c r="A66" s="2" t="s">
        <v>218</v>
      </c>
      <c r="B66" s="2">
        <v>932665</v>
      </c>
      <c r="C66" s="2" t="s">
        <v>219</v>
      </c>
      <c r="D66" s="2">
        <v>684612790738</v>
      </c>
      <c r="E66" s="2" t="s">
        <v>28</v>
      </c>
      <c r="F66" s="2" t="s">
        <v>216</v>
      </c>
      <c r="G66" s="2" t="s">
        <v>217</v>
      </c>
      <c r="H66" s="2" t="s">
        <v>21</v>
      </c>
      <c r="I66" s="2" t="s">
        <v>48</v>
      </c>
      <c r="J66" s="2">
        <v>10454.32</v>
      </c>
      <c r="K66" s="2" t="s">
        <v>98</v>
      </c>
      <c r="L66" s="3">
        <v>45475</v>
      </c>
      <c r="M66" s="2" t="s">
        <v>24</v>
      </c>
      <c r="N66" s="2">
        <v>167674.6</v>
      </c>
      <c r="O66" s="2" t="s">
        <v>25</v>
      </c>
      <c r="P66" s="5" t="str">
        <f t="shared" si="0"/>
        <v>2024-07</v>
      </c>
      <c r="Q66">
        <f t="shared" si="1"/>
        <v>10454.32</v>
      </c>
      <c r="R66">
        <f t="shared" si="2"/>
        <v>0</v>
      </c>
      <c r="S66" t="str">
        <f t="shared" si="3"/>
        <v>Cash-Based</v>
      </c>
      <c r="T66" t="str">
        <f t="shared" si="4"/>
        <v>One-Time User</v>
      </c>
    </row>
    <row r="67" spans="1:20" ht="15.75" customHeight="1" x14ac:dyDescent="0.3">
      <c r="A67" s="2" t="s">
        <v>220</v>
      </c>
      <c r="B67" s="2">
        <v>105013</v>
      </c>
      <c r="C67" s="2" t="s">
        <v>221</v>
      </c>
      <c r="D67" s="2">
        <v>244696373610</v>
      </c>
      <c r="E67" s="2" t="s">
        <v>64</v>
      </c>
      <c r="F67" s="2" t="s">
        <v>146</v>
      </c>
      <c r="G67" s="2" t="s">
        <v>147</v>
      </c>
      <c r="H67" s="2" t="s">
        <v>31</v>
      </c>
      <c r="I67" s="2" t="s">
        <v>53</v>
      </c>
      <c r="J67" s="2">
        <v>207043.55</v>
      </c>
      <c r="K67" s="2" t="s">
        <v>49</v>
      </c>
      <c r="L67" s="3">
        <v>45569</v>
      </c>
      <c r="M67" s="2" t="s">
        <v>24</v>
      </c>
      <c r="N67" s="2">
        <v>1957746.55</v>
      </c>
      <c r="O67" s="2" t="s">
        <v>25</v>
      </c>
      <c r="P67" s="5" t="str">
        <f t="shared" ref="P67:P130" si="5">TEXT(L67,"yyyy-mm")</f>
        <v>2024-10</v>
      </c>
      <c r="Q67">
        <f t="shared" ref="Q67:Q130" si="6">IF(I67="Withdrawal",-J67,J67)</f>
        <v>207043.55</v>
      </c>
      <c r="R67">
        <f t="shared" ref="R67:R130" si="7">IF(O67="Yes",1,0)</f>
        <v>0</v>
      </c>
      <c r="S67" t="str">
        <f t="shared" ref="S67:S130" si="8">IF(OR(K67="ATM",K67="Mobile App",K67="UPI"),"Digital",IF(K67="Branch","Branch-Driven","Cash-Based"))</f>
        <v>Cash-Based</v>
      </c>
      <c r="T67" t="str">
        <f t="shared" ref="T67:T130" si="9">IF(COUNTIF($C:$C,C67)&gt;1,"Frequent Transactor","One-Time User")</f>
        <v>One-Time User</v>
      </c>
    </row>
    <row r="68" spans="1:20" ht="15.75" customHeight="1" x14ac:dyDescent="0.3">
      <c r="A68" s="2" t="s">
        <v>222</v>
      </c>
      <c r="B68" s="2">
        <v>876150</v>
      </c>
      <c r="C68" s="2" t="s">
        <v>223</v>
      </c>
      <c r="D68" s="2">
        <v>232180677568</v>
      </c>
      <c r="E68" s="2" t="s">
        <v>64</v>
      </c>
      <c r="F68" s="2" t="s">
        <v>146</v>
      </c>
      <c r="G68" s="2" t="s">
        <v>147</v>
      </c>
      <c r="H68" s="2" t="s">
        <v>31</v>
      </c>
      <c r="I68" s="2" t="s">
        <v>48</v>
      </c>
      <c r="J68" s="2">
        <v>2685.68</v>
      </c>
      <c r="K68" s="2" t="s">
        <v>98</v>
      </c>
      <c r="L68" s="3">
        <v>45642</v>
      </c>
      <c r="M68" s="2" t="s">
        <v>24</v>
      </c>
      <c r="N68" s="2">
        <v>1087487.46</v>
      </c>
      <c r="O68" s="2" t="s">
        <v>25</v>
      </c>
      <c r="P68" s="5" t="str">
        <f t="shared" si="5"/>
        <v>2024-12</v>
      </c>
      <c r="Q68">
        <f t="shared" si="6"/>
        <v>2685.68</v>
      </c>
      <c r="R68">
        <f t="shared" si="7"/>
        <v>0</v>
      </c>
      <c r="S68" t="str">
        <f t="shared" si="8"/>
        <v>Cash-Based</v>
      </c>
      <c r="T68" t="str">
        <f t="shared" si="9"/>
        <v>One-Time User</v>
      </c>
    </row>
    <row r="69" spans="1:20" ht="15.75" customHeight="1" x14ac:dyDescent="0.3">
      <c r="A69" s="2" t="s">
        <v>224</v>
      </c>
      <c r="B69" s="2">
        <v>897276</v>
      </c>
      <c r="C69" s="2" t="s">
        <v>225</v>
      </c>
      <c r="D69" s="2">
        <v>189711713821</v>
      </c>
      <c r="E69" s="2" t="s">
        <v>18</v>
      </c>
      <c r="F69" s="2" t="s">
        <v>19</v>
      </c>
      <c r="G69" s="2" t="s">
        <v>20</v>
      </c>
      <c r="H69" s="2" t="s">
        <v>31</v>
      </c>
      <c r="I69" s="2" t="s">
        <v>38</v>
      </c>
      <c r="J69" s="2">
        <v>86872.7</v>
      </c>
      <c r="K69" s="2" t="s">
        <v>23</v>
      </c>
      <c r="L69" s="3">
        <v>45266</v>
      </c>
      <c r="M69" s="2" t="s">
        <v>24</v>
      </c>
      <c r="N69" s="2">
        <v>1480230.05</v>
      </c>
      <c r="O69" s="2" t="s">
        <v>25</v>
      </c>
      <c r="P69" s="5" t="str">
        <f t="shared" si="5"/>
        <v>2023-12</v>
      </c>
      <c r="Q69">
        <f t="shared" si="6"/>
        <v>-86872.7</v>
      </c>
      <c r="R69">
        <f t="shared" si="7"/>
        <v>0</v>
      </c>
      <c r="S69" t="str">
        <f t="shared" si="8"/>
        <v>Digital</v>
      </c>
      <c r="T69" t="str">
        <f t="shared" si="9"/>
        <v>One-Time User</v>
      </c>
    </row>
    <row r="70" spans="1:20" ht="15.75" customHeight="1" x14ac:dyDescent="0.3">
      <c r="A70" s="2" t="s">
        <v>226</v>
      </c>
      <c r="B70" s="2">
        <v>817632</v>
      </c>
      <c r="C70" s="2" t="s">
        <v>227</v>
      </c>
      <c r="D70" s="2">
        <v>414860744072</v>
      </c>
      <c r="E70" s="2" t="s">
        <v>91</v>
      </c>
      <c r="F70" s="2" t="s">
        <v>162</v>
      </c>
      <c r="G70" s="2" t="s">
        <v>163</v>
      </c>
      <c r="H70" s="2" t="s">
        <v>31</v>
      </c>
      <c r="I70" s="2" t="s">
        <v>48</v>
      </c>
      <c r="J70" s="2">
        <v>254430.23</v>
      </c>
      <c r="K70" s="2" t="s">
        <v>39</v>
      </c>
      <c r="L70" s="3">
        <v>45286</v>
      </c>
      <c r="M70" s="2" t="s">
        <v>168</v>
      </c>
      <c r="N70" s="2">
        <v>506011.52</v>
      </c>
      <c r="O70" s="2" t="s">
        <v>25</v>
      </c>
      <c r="P70" s="5" t="str">
        <f t="shared" si="5"/>
        <v>2023-12</v>
      </c>
      <c r="Q70">
        <f t="shared" si="6"/>
        <v>254430.23</v>
      </c>
      <c r="R70">
        <f t="shared" si="7"/>
        <v>0</v>
      </c>
      <c r="S70" t="str">
        <f t="shared" si="8"/>
        <v>Cash-Based</v>
      </c>
      <c r="T70" t="str">
        <f t="shared" si="9"/>
        <v>One-Time User</v>
      </c>
    </row>
    <row r="71" spans="1:20" ht="15.75" customHeight="1" x14ac:dyDescent="0.3">
      <c r="A71" s="2" t="s">
        <v>228</v>
      </c>
      <c r="B71" s="2">
        <v>910508</v>
      </c>
      <c r="C71" s="2" t="s">
        <v>229</v>
      </c>
      <c r="D71" s="2">
        <v>726091926541</v>
      </c>
      <c r="E71" s="2" t="s">
        <v>28</v>
      </c>
      <c r="F71" s="2" t="s">
        <v>79</v>
      </c>
      <c r="G71" s="2" t="s">
        <v>80</v>
      </c>
      <c r="H71" s="2" t="s">
        <v>67</v>
      </c>
      <c r="I71" s="2" t="s">
        <v>38</v>
      </c>
      <c r="J71" s="2">
        <v>2142.71</v>
      </c>
      <c r="K71" s="2" t="s">
        <v>23</v>
      </c>
      <c r="L71" s="3">
        <v>45453</v>
      </c>
      <c r="M71" s="2" t="s">
        <v>24</v>
      </c>
      <c r="N71" s="2">
        <v>175635.71</v>
      </c>
      <c r="O71" s="2" t="s">
        <v>25</v>
      </c>
      <c r="P71" s="5" t="str">
        <f t="shared" si="5"/>
        <v>2024-06</v>
      </c>
      <c r="Q71">
        <f t="shared" si="6"/>
        <v>-2142.71</v>
      </c>
      <c r="R71">
        <f t="shared" si="7"/>
        <v>0</v>
      </c>
      <c r="S71" t="str">
        <f t="shared" si="8"/>
        <v>Digital</v>
      </c>
      <c r="T71" t="str">
        <f t="shared" si="9"/>
        <v>One-Time User</v>
      </c>
    </row>
    <row r="72" spans="1:20" ht="15.75" customHeight="1" x14ac:dyDescent="0.3">
      <c r="A72" s="2" t="s">
        <v>230</v>
      </c>
      <c r="B72" s="2">
        <v>651220</v>
      </c>
      <c r="C72" s="2" t="s">
        <v>231</v>
      </c>
      <c r="D72" s="2">
        <v>260561696809</v>
      </c>
      <c r="E72" s="2" t="s">
        <v>28</v>
      </c>
      <c r="F72" s="2" t="s">
        <v>29</v>
      </c>
      <c r="G72" s="2" t="s">
        <v>30</v>
      </c>
      <c r="H72" s="2" t="s">
        <v>67</v>
      </c>
      <c r="I72" s="2" t="s">
        <v>38</v>
      </c>
      <c r="J72" s="2">
        <v>126982.03</v>
      </c>
      <c r="K72" s="2" t="s">
        <v>98</v>
      </c>
      <c r="L72" s="3">
        <v>45710</v>
      </c>
      <c r="M72" s="2" t="s">
        <v>24</v>
      </c>
      <c r="N72" s="2">
        <v>579930.85</v>
      </c>
      <c r="O72" s="2" t="s">
        <v>25</v>
      </c>
      <c r="P72" s="5" t="str">
        <f t="shared" si="5"/>
        <v>2025-02</v>
      </c>
      <c r="Q72">
        <f t="shared" si="6"/>
        <v>-126982.03</v>
      </c>
      <c r="R72">
        <f t="shared" si="7"/>
        <v>0</v>
      </c>
      <c r="S72" t="str">
        <f t="shared" si="8"/>
        <v>Cash-Based</v>
      </c>
      <c r="T72" t="str">
        <f t="shared" si="9"/>
        <v>One-Time User</v>
      </c>
    </row>
    <row r="73" spans="1:20" ht="15.75" customHeight="1" x14ac:dyDescent="0.3">
      <c r="A73" s="2" t="s">
        <v>232</v>
      </c>
      <c r="B73" s="2">
        <v>820049</v>
      </c>
      <c r="C73" s="2" t="s">
        <v>233</v>
      </c>
      <c r="D73" s="2">
        <v>939671397979</v>
      </c>
      <c r="E73" s="2" t="s">
        <v>35</v>
      </c>
      <c r="F73" s="2" t="s">
        <v>136</v>
      </c>
      <c r="G73" s="2" t="s">
        <v>137</v>
      </c>
      <c r="H73" s="2" t="s">
        <v>67</v>
      </c>
      <c r="I73" s="2" t="s">
        <v>53</v>
      </c>
      <c r="J73" s="2">
        <v>42148.13</v>
      </c>
      <c r="K73" s="2" t="s">
        <v>49</v>
      </c>
      <c r="L73" s="3">
        <v>45601</v>
      </c>
      <c r="M73" s="2" t="s">
        <v>24</v>
      </c>
      <c r="N73" s="2">
        <v>2030256.51</v>
      </c>
      <c r="O73" s="2" t="s">
        <v>25</v>
      </c>
      <c r="P73" s="5" t="str">
        <f t="shared" si="5"/>
        <v>2024-11</v>
      </c>
      <c r="Q73">
        <f t="shared" si="6"/>
        <v>42148.13</v>
      </c>
      <c r="R73">
        <f t="shared" si="7"/>
        <v>0</v>
      </c>
      <c r="S73" t="str">
        <f t="shared" si="8"/>
        <v>Cash-Based</v>
      </c>
      <c r="T73" t="str">
        <f t="shared" si="9"/>
        <v>One-Time User</v>
      </c>
    </row>
    <row r="74" spans="1:20" ht="15.75" customHeight="1" x14ac:dyDescent="0.3">
      <c r="A74" s="2" t="s">
        <v>234</v>
      </c>
      <c r="B74" s="2">
        <v>679021</v>
      </c>
      <c r="C74" s="2" t="s">
        <v>235</v>
      </c>
      <c r="D74" s="2">
        <v>721091509137</v>
      </c>
      <c r="E74" s="2" t="s">
        <v>35</v>
      </c>
      <c r="F74" s="2" t="s">
        <v>73</v>
      </c>
      <c r="G74" s="2" t="s">
        <v>74</v>
      </c>
      <c r="H74" s="2" t="s">
        <v>21</v>
      </c>
      <c r="I74" s="2" t="s">
        <v>53</v>
      </c>
      <c r="J74" s="2">
        <v>394326.09</v>
      </c>
      <c r="K74" s="2" t="s">
        <v>23</v>
      </c>
      <c r="L74" s="3">
        <v>45222</v>
      </c>
      <c r="M74" s="2" t="s">
        <v>24</v>
      </c>
      <c r="N74" s="2">
        <v>1896600.3</v>
      </c>
      <c r="O74" s="2" t="s">
        <v>25</v>
      </c>
      <c r="P74" s="5" t="str">
        <f t="shared" si="5"/>
        <v>2023-10</v>
      </c>
      <c r="Q74">
        <f t="shared" si="6"/>
        <v>394326.09</v>
      </c>
      <c r="R74">
        <f t="shared" si="7"/>
        <v>0</v>
      </c>
      <c r="S74" t="str">
        <f t="shared" si="8"/>
        <v>Digital</v>
      </c>
      <c r="T74" t="str">
        <f t="shared" si="9"/>
        <v>One-Time User</v>
      </c>
    </row>
    <row r="75" spans="1:20" ht="15.75" customHeight="1" x14ac:dyDescent="0.3">
      <c r="A75" s="2" t="s">
        <v>236</v>
      </c>
      <c r="B75" s="2">
        <v>256851</v>
      </c>
      <c r="C75" s="2" t="s">
        <v>237</v>
      </c>
      <c r="D75" s="2">
        <v>174251495558</v>
      </c>
      <c r="E75" s="2" t="s">
        <v>91</v>
      </c>
      <c r="F75" s="2" t="s">
        <v>130</v>
      </c>
      <c r="G75" s="2" t="s">
        <v>131</v>
      </c>
      <c r="H75" s="2" t="s">
        <v>70</v>
      </c>
      <c r="I75" s="2" t="s">
        <v>38</v>
      </c>
      <c r="J75" s="2">
        <v>111775.28</v>
      </c>
      <c r="K75" s="2" t="s">
        <v>98</v>
      </c>
      <c r="L75" s="3">
        <v>45529</v>
      </c>
      <c r="M75" s="2" t="s">
        <v>168</v>
      </c>
      <c r="N75" s="2">
        <v>1569398.54</v>
      </c>
      <c r="O75" s="2" t="s">
        <v>25</v>
      </c>
      <c r="P75" s="5" t="str">
        <f t="shared" si="5"/>
        <v>2024-08</v>
      </c>
      <c r="Q75">
        <f t="shared" si="6"/>
        <v>-111775.28</v>
      </c>
      <c r="R75">
        <f t="shared" si="7"/>
        <v>0</v>
      </c>
      <c r="S75" t="str">
        <f t="shared" si="8"/>
        <v>Cash-Based</v>
      </c>
      <c r="T75" t="str">
        <f t="shared" si="9"/>
        <v>One-Time User</v>
      </c>
    </row>
    <row r="76" spans="1:20" ht="15.75" customHeight="1" x14ac:dyDescent="0.3">
      <c r="A76" s="2" t="s">
        <v>238</v>
      </c>
      <c r="B76" s="2">
        <v>761621</v>
      </c>
      <c r="C76" s="2" t="s">
        <v>239</v>
      </c>
      <c r="D76" s="2">
        <v>335715085702</v>
      </c>
      <c r="E76" s="2" t="s">
        <v>35</v>
      </c>
      <c r="F76" s="2" t="s">
        <v>60</v>
      </c>
      <c r="G76" s="2" t="s">
        <v>61</v>
      </c>
      <c r="H76" s="2" t="s">
        <v>67</v>
      </c>
      <c r="I76" s="2" t="s">
        <v>48</v>
      </c>
      <c r="J76" s="2">
        <v>108963.54</v>
      </c>
      <c r="K76" s="2" t="s">
        <v>32</v>
      </c>
      <c r="L76" s="3">
        <v>45761</v>
      </c>
      <c r="M76" s="2" t="s">
        <v>24</v>
      </c>
      <c r="N76" s="2">
        <v>222485.48</v>
      </c>
      <c r="O76" s="2" t="s">
        <v>25</v>
      </c>
      <c r="P76" s="5" t="str">
        <f t="shared" si="5"/>
        <v>2025-04</v>
      </c>
      <c r="Q76">
        <f t="shared" si="6"/>
        <v>108963.54</v>
      </c>
      <c r="R76">
        <f t="shared" si="7"/>
        <v>0</v>
      </c>
      <c r="S76" t="str">
        <f t="shared" si="8"/>
        <v>Cash-Based</v>
      </c>
      <c r="T76" t="str">
        <f t="shared" si="9"/>
        <v>One-Time User</v>
      </c>
    </row>
    <row r="77" spans="1:20" ht="15.75" customHeight="1" x14ac:dyDescent="0.3">
      <c r="A77" s="2" t="s">
        <v>240</v>
      </c>
      <c r="B77" s="2">
        <v>615769</v>
      </c>
      <c r="C77" s="2" t="s">
        <v>241</v>
      </c>
      <c r="D77" s="2">
        <v>407129016960</v>
      </c>
      <c r="E77" s="2" t="s">
        <v>91</v>
      </c>
      <c r="F77" s="2" t="s">
        <v>162</v>
      </c>
      <c r="G77" s="2" t="s">
        <v>163</v>
      </c>
      <c r="H77" s="2" t="s">
        <v>31</v>
      </c>
      <c r="I77" s="2" t="s">
        <v>53</v>
      </c>
      <c r="J77" s="2">
        <v>5467.69</v>
      </c>
      <c r="K77" s="2" t="s">
        <v>39</v>
      </c>
      <c r="L77" s="3">
        <v>45518</v>
      </c>
      <c r="M77" s="2" t="s">
        <v>24</v>
      </c>
      <c r="N77" s="2">
        <v>300060.15000000002</v>
      </c>
      <c r="O77" s="2" t="s">
        <v>25</v>
      </c>
      <c r="P77" s="5" t="str">
        <f t="shared" si="5"/>
        <v>2024-08</v>
      </c>
      <c r="Q77">
        <f t="shared" si="6"/>
        <v>5467.69</v>
      </c>
      <c r="R77">
        <f t="shared" si="7"/>
        <v>0</v>
      </c>
      <c r="S77" t="str">
        <f t="shared" si="8"/>
        <v>Cash-Based</v>
      </c>
      <c r="T77" t="str">
        <f t="shared" si="9"/>
        <v>One-Time User</v>
      </c>
    </row>
    <row r="78" spans="1:20" ht="15.75" customHeight="1" x14ac:dyDescent="0.3">
      <c r="A78" s="2" t="s">
        <v>242</v>
      </c>
      <c r="B78" s="2">
        <v>964477</v>
      </c>
      <c r="C78" s="2" t="s">
        <v>243</v>
      </c>
      <c r="D78" s="2">
        <v>273078175564</v>
      </c>
      <c r="E78" s="2" t="s">
        <v>64</v>
      </c>
      <c r="F78" s="2" t="s">
        <v>146</v>
      </c>
      <c r="G78" s="2" t="s">
        <v>147</v>
      </c>
      <c r="H78" s="2" t="s">
        <v>67</v>
      </c>
      <c r="I78" s="2" t="s">
        <v>48</v>
      </c>
      <c r="J78" s="2">
        <v>77594.36</v>
      </c>
      <c r="K78" s="2" t="s">
        <v>23</v>
      </c>
      <c r="L78" s="3">
        <v>45170</v>
      </c>
      <c r="M78" s="2" t="s">
        <v>24</v>
      </c>
      <c r="N78" s="2">
        <v>1469822.53</v>
      </c>
      <c r="O78" s="2" t="s">
        <v>25</v>
      </c>
      <c r="P78" s="5" t="str">
        <f t="shared" si="5"/>
        <v>2023-09</v>
      </c>
      <c r="Q78">
        <f t="shared" si="6"/>
        <v>77594.36</v>
      </c>
      <c r="R78">
        <f t="shared" si="7"/>
        <v>0</v>
      </c>
      <c r="S78" t="str">
        <f t="shared" si="8"/>
        <v>Digital</v>
      </c>
      <c r="T78" t="str">
        <f t="shared" si="9"/>
        <v>One-Time User</v>
      </c>
    </row>
    <row r="79" spans="1:20" ht="15.75" customHeight="1" x14ac:dyDescent="0.3">
      <c r="A79" s="2" t="s">
        <v>244</v>
      </c>
      <c r="B79" s="2">
        <v>619316</v>
      </c>
      <c r="C79" s="2" t="s">
        <v>245</v>
      </c>
      <c r="D79" s="2">
        <v>921865469550</v>
      </c>
      <c r="E79" s="2" t="s">
        <v>18</v>
      </c>
      <c r="F79" s="2" t="s">
        <v>19</v>
      </c>
      <c r="G79" s="2" t="s">
        <v>20</v>
      </c>
      <c r="H79" s="2" t="s">
        <v>70</v>
      </c>
      <c r="I79" s="2" t="s">
        <v>38</v>
      </c>
      <c r="J79" s="2">
        <v>130332.95</v>
      </c>
      <c r="K79" s="2" t="s">
        <v>98</v>
      </c>
      <c r="L79" s="3">
        <v>45250</v>
      </c>
      <c r="M79" s="2" t="s">
        <v>24</v>
      </c>
      <c r="N79" s="2">
        <v>202394.12</v>
      </c>
      <c r="O79" s="2" t="s">
        <v>25</v>
      </c>
      <c r="P79" s="5" t="str">
        <f t="shared" si="5"/>
        <v>2023-11</v>
      </c>
      <c r="Q79">
        <f t="shared" si="6"/>
        <v>-130332.95</v>
      </c>
      <c r="R79">
        <f t="shared" si="7"/>
        <v>0</v>
      </c>
      <c r="S79" t="str">
        <f t="shared" si="8"/>
        <v>Cash-Based</v>
      </c>
      <c r="T79" t="str">
        <f t="shared" si="9"/>
        <v>One-Time User</v>
      </c>
    </row>
    <row r="80" spans="1:20" ht="15.75" customHeight="1" x14ac:dyDescent="0.3">
      <c r="A80" s="2" t="s">
        <v>246</v>
      </c>
      <c r="B80" s="2">
        <v>258410</v>
      </c>
      <c r="C80" s="2" t="s">
        <v>247</v>
      </c>
      <c r="D80" s="2">
        <v>668697508911</v>
      </c>
      <c r="E80" s="2" t="s">
        <v>18</v>
      </c>
      <c r="F80" s="2" t="s">
        <v>87</v>
      </c>
      <c r="G80" s="2" t="s">
        <v>88</v>
      </c>
      <c r="H80" s="2" t="s">
        <v>31</v>
      </c>
      <c r="I80" s="2" t="s">
        <v>53</v>
      </c>
      <c r="J80" s="2">
        <v>431597.82</v>
      </c>
      <c r="K80" s="2" t="s">
        <v>23</v>
      </c>
      <c r="L80" s="3">
        <v>45281</v>
      </c>
      <c r="M80" s="2" t="s">
        <v>24</v>
      </c>
      <c r="N80" s="2">
        <v>2153343.14</v>
      </c>
      <c r="O80" s="2" t="s">
        <v>25</v>
      </c>
      <c r="P80" s="5" t="str">
        <f t="shared" si="5"/>
        <v>2023-12</v>
      </c>
      <c r="Q80">
        <f t="shared" si="6"/>
        <v>431597.82</v>
      </c>
      <c r="R80">
        <f t="shared" si="7"/>
        <v>0</v>
      </c>
      <c r="S80" t="str">
        <f t="shared" si="8"/>
        <v>Digital</v>
      </c>
      <c r="T80" t="str">
        <f t="shared" si="9"/>
        <v>One-Time User</v>
      </c>
    </row>
    <row r="81" spans="1:20" ht="15.75" customHeight="1" x14ac:dyDescent="0.3">
      <c r="A81" s="2" t="s">
        <v>248</v>
      </c>
      <c r="B81" s="2">
        <v>683367</v>
      </c>
      <c r="C81" s="2" t="s">
        <v>249</v>
      </c>
      <c r="D81" s="2">
        <v>982009733970</v>
      </c>
      <c r="E81" s="2" t="s">
        <v>91</v>
      </c>
      <c r="F81" s="2" t="s">
        <v>130</v>
      </c>
      <c r="G81" s="2" t="s">
        <v>131</v>
      </c>
      <c r="H81" s="2" t="s">
        <v>31</v>
      </c>
      <c r="I81" s="2" t="s">
        <v>22</v>
      </c>
      <c r="J81" s="2">
        <v>329340.40999999997</v>
      </c>
      <c r="K81" s="2" t="s">
        <v>32</v>
      </c>
      <c r="L81" s="3">
        <v>45245</v>
      </c>
      <c r="M81" s="2" t="s">
        <v>24</v>
      </c>
      <c r="N81" s="2">
        <v>1368075.07</v>
      </c>
      <c r="O81" s="2" t="s">
        <v>25</v>
      </c>
      <c r="P81" s="5" t="str">
        <f t="shared" si="5"/>
        <v>2023-11</v>
      </c>
      <c r="Q81">
        <f t="shared" si="6"/>
        <v>329340.40999999997</v>
      </c>
      <c r="R81">
        <f t="shared" si="7"/>
        <v>0</v>
      </c>
      <c r="S81" t="str">
        <f t="shared" si="8"/>
        <v>Cash-Based</v>
      </c>
      <c r="T81" t="str">
        <f t="shared" si="9"/>
        <v>One-Time User</v>
      </c>
    </row>
    <row r="82" spans="1:20" ht="15.75" customHeight="1" x14ac:dyDescent="0.3">
      <c r="A82" s="2" t="s">
        <v>250</v>
      </c>
      <c r="B82" s="2">
        <v>685188</v>
      </c>
      <c r="C82" s="2" t="s">
        <v>251</v>
      </c>
      <c r="D82" s="2">
        <v>440841637325</v>
      </c>
      <c r="E82" s="2" t="s">
        <v>91</v>
      </c>
      <c r="F82" s="2" t="s">
        <v>109</v>
      </c>
      <c r="G82" s="2" t="s">
        <v>110</v>
      </c>
      <c r="H82" s="2" t="s">
        <v>31</v>
      </c>
      <c r="I82" s="2" t="s">
        <v>48</v>
      </c>
      <c r="J82" s="2">
        <v>230671.33</v>
      </c>
      <c r="K82" s="2" t="s">
        <v>98</v>
      </c>
      <c r="L82" s="3">
        <v>45732</v>
      </c>
      <c r="M82" s="2" t="s">
        <v>24</v>
      </c>
      <c r="N82" s="2">
        <v>793311.08</v>
      </c>
      <c r="O82" s="2" t="s">
        <v>25</v>
      </c>
      <c r="P82" s="5" t="str">
        <f t="shared" si="5"/>
        <v>2025-03</v>
      </c>
      <c r="Q82">
        <f t="shared" si="6"/>
        <v>230671.33</v>
      </c>
      <c r="R82">
        <f t="shared" si="7"/>
        <v>0</v>
      </c>
      <c r="S82" t="str">
        <f t="shared" si="8"/>
        <v>Cash-Based</v>
      </c>
      <c r="T82" t="str">
        <f t="shared" si="9"/>
        <v>One-Time User</v>
      </c>
    </row>
    <row r="83" spans="1:20" ht="15.75" customHeight="1" x14ac:dyDescent="0.3">
      <c r="A83" s="2" t="s">
        <v>252</v>
      </c>
      <c r="B83" s="2">
        <v>861387</v>
      </c>
      <c r="C83" s="2" t="s">
        <v>253</v>
      </c>
      <c r="D83" s="2">
        <v>206376466987</v>
      </c>
      <c r="E83" s="2" t="s">
        <v>35</v>
      </c>
      <c r="F83" s="2" t="s">
        <v>73</v>
      </c>
      <c r="G83" s="2" t="s">
        <v>74</v>
      </c>
      <c r="H83" s="2" t="s">
        <v>67</v>
      </c>
      <c r="I83" s="2" t="s">
        <v>48</v>
      </c>
      <c r="J83" s="2">
        <v>151847.43</v>
      </c>
      <c r="K83" s="2" t="s">
        <v>98</v>
      </c>
      <c r="L83" s="3">
        <v>45408</v>
      </c>
      <c r="M83" s="2" t="s">
        <v>113</v>
      </c>
      <c r="N83" s="2">
        <v>245310.82</v>
      </c>
      <c r="O83" s="2" t="s">
        <v>25</v>
      </c>
      <c r="P83" s="5" t="str">
        <f t="shared" si="5"/>
        <v>2024-04</v>
      </c>
      <c r="Q83">
        <f t="shared" si="6"/>
        <v>151847.43</v>
      </c>
      <c r="R83">
        <f t="shared" si="7"/>
        <v>0</v>
      </c>
      <c r="S83" t="str">
        <f t="shared" si="8"/>
        <v>Cash-Based</v>
      </c>
      <c r="T83" t="str">
        <f t="shared" si="9"/>
        <v>One-Time User</v>
      </c>
    </row>
    <row r="84" spans="1:20" ht="15.75" customHeight="1" x14ac:dyDescent="0.3">
      <c r="A84" s="2" t="s">
        <v>254</v>
      </c>
      <c r="B84" s="2">
        <v>294793</v>
      </c>
      <c r="C84" s="2" t="s">
        <v>255</v>
      </c>
      <c r="D84" s="2">
        <v>396259742856</v>
      </c>
      <c r="E84" s="2" t="s">
        <v>64</v>
      </c>
      <c r="F84" s="2" t="s">
        <v>146</v>
      </c>
      <c r="G84" s="2" t="s">
        <v>147</v>
      </c>
      <c r="H84" s="2" t="s">
        <v>21</v>
      </c>
      <c r="I84" s="2" t="s">
        <v>48</v>
      </c>
      <c r="J84" s="2">
        <v>43912.42</v>
      </c>
      <c r="K84" s="2" t="s">
        <v>23</v>
      </c>
      <c r="L84" s="3">
        <v>45768</v>
      </c>
      <c r="M84" s="2" t="s">
        <v>24</v>
      </c>
      <c r="N84" s="2">
        <v>720514.71000000008</v>
      </c>
      <c r="O84" s="2" t="s">
        <v>25</v>
      </c>
      <c r="P84" s="5" t="str">
        <f t="shared" si="5"/>
        <v>2025-04</v>
      </c>
      <c r="Q84">
        <f t="shared" si="6"/>
        <v>43912.42</v>
      </c>
      <c r="R84">
        <f t="shared" si="7"/>
        <v>0</v>
      </c>
      <c r="S84" t="str">
        <f t="shared" si="8"/>
        <v>Digital</v>
      </c>
      <c r="T84" t="str">
        <f t="shared" si="9"/>
        <v>One-Time User</v>
      </c>
    </row>
    <row r="85" spans="1:20" ht="15.75" customHeight="1" x14ac:dyDescent="0.3">
      <c r="A85" s="2" t="s">
        <v>256</v>
      </c>
      <c r="B85" s="2">
        <v>163591</v>
      </c>
      <c r="C85" s="2" t="s">
        <v>257</v>
      </c>
      <c r="D85" s="2">
        <v>643282698177</v>
      </c>
      <c r="E85" s="2" t="s">
        <v>64</v>
      </c>
      <c r="F85" s="2" t="s">
        <v>177</v>
      </c>
      <c r="G85" s="2" t="s">
        <v>178</v>
      </c>
      <c r="H85" s="2" t="s">
        <v>21</v>
      </c>
      <c r="I85" s="2" t="s">
        <v>48</v>
      </c>
      <c r="J85" s="2">
        <v>259387.62</v>
      </c>
      <c r="K85" s="2" t="s">
        <v>39</v>
      </c>
      <c r="L85" s="3">
        <v>45280</v>
      </c>
      <c r="M85" s="2" t="s">
        <v>24</v>
      </c>
      <c r="N85" s="2">
        <v>1341143.01</v>
      </c>
      <c r="O85" s="2" t="s">
        <v>25</v>
      </c>
      <c r="P85" s="5" t="str">
        <f t="shared" si="5"/>
        <v>2023-12</v>
      </c>
      <c r="Q85">
        <f t="shared" si="6"/>
        <v>259387.62</v>
      </c>
      <c r="R85">
        <f t="shared" si="7"/>
        <v>0</v>
      </c>
      <c r="S85" t="str">
        <f t="shared" si="8"/>
        <v>Cash-Based</v>
      </c>
      <c r="T85" t="str">
        <f t="shared" si="9"/>
        <v>One-Time User</v>
      </c>
    </row>
    <row r="86" spans="1:20" ht="15.75" customHeight="1" x14ac:dyDescent="0.3">
      <c r="A86" s="2" t="s">
        <v>258</v>
      </c>
      <c r="B86" s="2">
        <v>999369</v>
      </c>
      <c r="C86" s="2" t="s">
        <v>259</v>
      </c>
      <c r="D86" s="2">
        <v>693909368952</v>
      </c>
      <c r="E86" s="2" t="s">
        <v>35</v>
      </c>
      <c r="F86" s="2" t="s">
        <v>73</v>
      </c>
      <c r="G86" s="2" t="s">
        <v>74</v>
      </c>
      <c r="H86" s="2" t="s">
        <v>67</v>
      </c>
      <c r="I86" s="2" t="s">
        <v>38</v>
      </c>
      <c r="J86" s="2">
        <v>113984.02</v>
      </c>
      <c r="K86" s="2" t="s">
        <v>49</v>
      </c>
      <c r="L86" s="3">
        <v>45567</v>
      </c>
      <c r="M86" s="2" t="s">
        <v>24</v>
      </c>
      <c r="N86" s="2">
        <v>1568873.7</v>
      </c>
      <c r="O86" s="2" t="s">
        <v>179</v>
      </c>
      <c r="P86" s="5" t="str">
        <f t="shared" si="5"/>
        <v>2024-10</v>
      </c>
      <c r="Q86">
        <f t="shared" si="6"/>
        <v>-113984.02</v>
      </c>
      <c r="R86">
        <f t="shared" si="7"/>
        <v>1</v>
      </c>
      <c r="S86" t="str">
        <f t="shared" si="8"/>
        <v>Cash-Based</v>
      </c>
      <c r="T86" t="str">
        <f t="shared" si="9"/>
        <v>One-Time User</v>
      </c>
    </row>
    <row r="87" spans="1:20" ht="15.75" customHeight="1" x14ac:dyDescent="0.3">
      <c r="A87" s="2" t="s">
        <v>260</v>
      </c>
      <c r="B87" s="2">
        <v>436075</v>
      </c>
      <c r="C87" s="2" t="s">
        <v>261</v>
      </c>
      <c r="D87" s="2">
        <v>405209357833</v>
      </c>
      <c r="E87" s="2" t="s">
        <v>28</v>
      </c>
      <c r="F87" s="2" t="s">
        <v>29</v>
      </c>
      <c r="G87" s="2" t="s">
        <v>30</v>
      </c>
      <c r="H87" s="2" t="s">
        <v>31</v>
      </c>
      <c r="I87" s="2" t="s">
        <v>53</v>
      </c>
      <c r="J87" s="2">
        <v>25673.64</v>
      </c>
      <c r="K87" s="2" t="s">
        <v>39</v>
      </c>
      <c r="L87" s="3">
        <v>45475</v>
      </c>
      <c r="M87" s="2" t="s">
        <v>24</v>
      </c>
      <c r="N87" s="2">
        <v>231828.22</v>
      </c>
      <c r="O87" s="2" t="s">
        <v>25</v>
      </c>
      <c r="P87" s="5" t="str">
        <f t="shared" si="5"/>
        <v>2024-07</v>
      </c>
      <c r="Q87">
        <f t="shared" si="6"/>
        <v>25673.64</v>
      </c>
      <c r="R87">
        <f t="shared" si="7"/>
        <v>0</v>
      </c>
      <c r="S87" t="str">
        <f t="shared" si="8"/>
        <v>Cash-Based</v>
      </c>
      <c r="T87" t="str">
        <f t="shared" si="9"/>
        <v>One-Time User</v>
      </c>
    </row>
    <row r="88" spans="1:20" ht="15.75" customHeight="1" x14ac:dyDescent="0.3">
      <c r="A88" s="2" t="s">
        <v>262</v>
      </c>
      <c r="B88" s="2">
        <v>246445</v>
      </c>
      <c r="C88" s="2" t="s">
        <v>263</v>
      </c>
      <c r="D88" s="2">
        <v>626901044244</v>
      </c>
      <c r="E88" s="2" t="s">
        <v>35</v>
      </c>
      <c r="F88" s="2" t="s">
        <v>36</v>
      </c>
      <c r="G88" s="2" t="s">
        <v>37</v>
      </c>
      <c r="H88" s="2" t="s">
        <v>67</v>
      </c>
      <c r="I88" s="2" t="s">
        <v>53</v>
      </c>
      <c r="J88" s="2">
        <v>373738.22</v>
      </c>
      <c r="K88" s="2" t="s">
        <v>23</v>
      </c>
      <c r="L88" s="3">
        <v>45773</v>
      </c>
      <c r="M88" s="2" t="s">
        <v>24</v>
      </c>
      <c r="N88" s="2">
        <v>759841.91999999993</v>
      </c>
      <c r="O88" s="2" t="s">
        <v>25</v>
      </c>
      <c r="P88" s="5" t="str">
        <f t="shared" si="5"/>
        <v>2025-04</v>
      </c>
      <c r="Q88">
        <f t="shared" si="6"/>
        <v>373738.22</v>
      </c>
      <c r="R88">
        <f t="shared" si="7"/>
        <v>0</v>
      </c>
      <c r="S88" t="str">
        <f t="shared" si="8"/>
        <v>Digital</v>
      </c>
      <c r="T88" t="str">
        <f t="shared" si="9"/>
        <v>One-Time User</v>
      </c>
    </row>
    <row r="89" spans="1:20" ht="15.75" customHeight="1" x14ac:dyDescent="0.3">
      <c r="A89" s="2" t="s">
        <v>264</v>
      </c>
      <c r="B89" s="2">
        <v>649852</v>
      </c>
      <c r="C89" s="2" t="s">
        <v>265</v>
      </c>
      <c r="D89" s="2">
        <v>360164842230</v>
      </c>
      <c r="E89" s="2" t="s">
        <v>28</v>
      </c>
      <c r="F89" s="2" t="s">
        <v>150</v>
      </c>
      <c r="G89" s="2" t="s">
        <v>151</v>
      </c>
      <c r="H89" s="2" t="s">
        <v>70</v>
      </c>
      <c r="I89" s="2" t="s">
        <v>53</v>
      </c>
      <c r="J89" s="2">
        <v>135613.45000000001</v>
      </c>
      <c r="K89" s="2" t="s">
        <v>49</v>
      </c>
      <c r="L89" s="3">
        <v>45708</v>
      </c>
      <c r="M89" s="2" t="s">
        <v>24</v>
      </c>
      <c r="N89" s="2">
        <v>1878459.02</v>
      </c>
      <c r="O89" s="2" t="s">
        <v>25</v>
      </c>
      <c r="P89" s="5" t="str">
        <f t="shared" si="5"/>
        <v>2025-02</v>
      </c>
      <c r="Q89">
        <f t="shared" si="6"/>
        <v>135613.45000000001</v>
      </c>
      <c r="R89">
        <f t="shared" si="7"/>
        <v>0</v>
      </c>
      <c r="S89" t="str">
        <f t="shared" si="8"/>
        <v>Cash-Based</v>
      </c>
      <c r="T89" t="str">
        <f t="shared" si="9"/>
        <v>One-Time User</v>
      </c>
    </row>
    <row r="90" spans="1:20" ht="15.75" customHeight="1" x14ac:dyDescent="0.3">
      <c r="A90" s="2" t="s">
        <v>266</v>
      </c>
      <c r="B90" s="2">
        <v>846632</v>
      </c>
      <c r="C90" s="2" t="s">
        <v>267</v>
      </c>
      <c r="D90" s="2">
        <v>791650643766</v>
      </c>
      <c r="E90" s="2" t="s">
        <v>35</v>
      </c>
      <c r="F90" s="2" t="s">
        <v>136</v>
      </c>
      <c r="G90" s="2" t="s">
        <v>137</v>
      </c>
      <c r="H90" s="2" t="s">
        <v>31</v>
      </c>
      <c r="I90" s="2" t="s">
        <v>38</v>
      </c>
      <c r="J90" s="2">
        <v>135727.92000000001</v>
      </c>
      <c r="K90" s="2" t="s">
        <v>23</v>
      </c>
      <c r="L90" s="3">
        <v>45128</v>
      </c>
      <c r="M90" s="2" t="s">
        <v>24</v>
      </c>
      <c r="N90" s="2">
        <v>80849.75</v>
      </c>
      <c r="O90" s="2" t="s">
        <v>25</v>
      </c>
      <c r="P90" s="5" t="str">
        <f t="shared" si="5"/>
        <v>2023-07</v>
      </c>
      <c r="Q90">
        <f t="shared" si="6"/>
        <v>-135727.92000000001</v>
      </c>
      <c r="R90">
        <f t="shared" si="7"/>
        <v>0</v>
      </c>
      <c r="S90" t="str">
        <f t="shared" si="8"/>
        <v>Digital</v>
      </c>
      <c r="T90" t="str">
        <f t="shared" si="9"/>
        <v>One-Time User</v>
      </c>
    </row>
    <row r="91" spans="1:20" ht="15.75" customHeight="1" x14ac:dyDescent="0.3">
      <c r="A91" s="2" t="s">
        <v>268</v>
      </c>
      <c r="B91" s="2">
        <v>426604</v>
      </c>
      <c r="C91" s="2" t="s">
        <v>269</v>
      </c>
      <c r="D91" s="2">
        <v>694508992835</v>
      </c>
      <c r="E91" s="2" t="s">
        <v>28</v>
      </c>
      <c r="F91" s="2" t="s">
        <v>29</v>
      </c>
      <c r="G91" s="2" t="s">
        <v>30</v>
      </c>
      <c r="H91" s="2" t="s">
        <v>21</v>
      </c>
      <c r="I91" s="2" t="s">
        <v>22</v>
      </c>
      <c r="J91" s="2">
        <v>181205.51</v>
      </c>
      <c r="K91" s="2" t="s">
        <v>98</v>
      </c>
      <c r="L91" s="3">
        <v>45779</v>
      </c>
      <c r="M91" s="2" t="s">
        <v>24</v>
      </c>
      <c r="N91" s="2">
        <v>2162794.13</v>
      </c>
      <c r="O91" s="2" t="s">
        <v>25</v>
      </c>
      <c r="P91" s="5" t="str">
        <f t="shared" si="5"/>
        <v>2025-05</v>
      </c>
      <c r="Q91">
        <f t="shared" si="6"/>
        <v>181205.51</v>
      </c>
      <c r="R91">
        <f t="shared" si="7"/>
        <v>0</v>
      </c>
      <c r="S91" t="str">
        <f t="shared" si="8"/>
        <v>Cash-Based</v>
      </c>
      <c r="T91" t="str">
        <f t="shared" si="9"/>
        <v>One-Time User</v>
      </c>
    </row>
    <row r="92" spans="1:20" ht="15.75" customHeight="1" x14ac:dyDescent="0.3">
      <c r="A92" s="2" t="s">
        <v>270</v>
      </c>
      <c r="B92" s="2">
        <v>944525</v>
      </c>
      <c r="C92" s="2" t="s">
        <v>271</v>
      </c>
      <c r="D92" s="2">
        <v>109856223455</v>
      </c>
      <c r="E92" s="2" t="s">
        <v>64</v>
      </c>
      <c r="F92" s="2" t="s">
        <v>146</v>
      </c>
      <c r="G92" s="2" t="s">
        <v>147</v>
      </c>
      <c r="H92" s="2" t="s">
        <v>21</v>
      </c>
      <c r="I92" s="2" t="s">
        <v>48</v>
      </c>
      <c r="J92" s="2">
        <v>181990.14</v>
      </c>
      <c r="K92" s="2" t="s">
        <v>32</v>
      </c>
      <c r="L92" s="3">
        <v>45548</v>
      </c>
      <c r="M92" s="2" t="s">
        <v>24</v>
      </c>
      <c r="N92" s="2">
        <v>971684.35</v>
      </c>
      <c r="O92" s="2" t="s">
        <v>25</v>
      </c>
      <c r="P92" s="5" t="str">
        <f t="shared" si="5"/>
        <v>2024-09</v>
      </c>
      <c r="Q92">
        <f t="shared" si="6"/>
        <v>181990.14</v>
      </c>
      <c r="R92">
        <f t="shared" si="7"/>
        <v>0</v>
      </c>
      <c r="S92" t="str">
        <f t="shared" si="8"/>
        <v>Cash-Based</v>
      </c>
      <c r="T92" t="str">
        <f t="shared" si="9"/>
        <v>One-Time User</v>
      </c>
    </row>
    <row r="93" spans="1:20" ht="15.75" customHeight="1" x14ac:dyDescent="0.3">
      <c r="A93" s="2" t="s">
        <v>272</v>
      </c>
      <c r="B93" s="2">
        <v>592501</v>
      </c>
      <c r="C93" s="2" t="s">
        <v>273</v>
      </c>
      <c r="D93" s="2">
        <v>699404858667</v>
      </c>
      <c r="E93" s="2" t="s">
        <v>28</v>
      </c>
      <c r="F93" s="2" t="s">
        <v>150</v>
      </c>
      <c r="G93" s="2" t="s">
        <v>151</v>
      </c>
      <c r="H93" s="2" t="s">
        <v>67</v>
      </c>
      <c r="I93" s="2" t="s">
        <v>48</v>
      </c>
      <c r="J93" s="2">
        <v>156947.67000000001</v>
      </c>
      <c r="K93" s="2" t="s">
        <v>98</v>
      </c>
      <c r="L93" s="3">
        <v>45453</v>
      </c>
      <c r="M93" s="2" t="s">
        <v>24</v>
      </c>
      <c r="N93" s="2">
        <v>1603555.77</v>
      </c>
      <c r="O93" s="2" t="s">
        <v>25</v>
      </c>
      <c r="P93" s="5" t="str">
        <f t="shared" si="5"/>
        <v>2024-06</v>
      </c>
      <c r="Q93">
        <f t="shared" si="6"/>
        <v>156947.67000000001</v>
      </c>
      <c r="R93">
        <f t="shared" si="7"/>
        <v>0</v>
      </c>
      <c r="S93" t="str">
        <f t="shared" si="8"/>
        <v>Cash-Based</v>
      </c>
      <c r="T93" t="str">
        <f t="shared" si="9"/>
        <v>One-Time User</v>
      </c>
    </row>
    <row r="94" spans="1:20" ht="15.75" customHeight="1" x14ac:dyDescent="0.3">
      <c r="A94" s="2" t="s">
        <v>274</v>
      </c>
      <c r="B94" s="2">
        <v>768984</v>
      </c>
      <c r="C94" s="2" t="s">
        <v>275</v>
      </c>
      <c r="D94" s="2">
        <v>208342410757</v>
      </c>
      <c r="E94" s="2" t="s">
        <v>35</v>
      </c>
      <c r="F94" s="2" t="s">
        <v>73</v>
      </c>
      <c r="G94" s="2" t="s">
        <v>74</v>
      </c>
      <c r="H94" s="2" t="s">
        <v>31</v>
      </c>
      <c r="I94" s="2" t="s">
        <v>48</v>
      </c>
      <c r="J94" s="2">
        <v>229674.46</v>
      </c>
      <c r="K94" s="2" t="s">
        <v>98</v>
      </c>
      <c r="L94" s="3">
        <v>45329</v>
      </c>
      <c r="M94" s="2" t="s">
        <v>24</v>
      </c>
      <c r="N94" s="2">
        <v>853283.80999999994</v>
      </c>
      <c r="O94" s="2" t="s">
        <v>25</v>
      </c>
      <c r="P94" s="5" t="str">
        <f t="shared" si="5"/>
        <v>2024-02</v>
      </c>
      <c r="Q94">
        <f t="shared" si="6"/>
        <v>229674.46</v>
      </c>
      <c r="R94">
        <f t="shared" si="7"/>
        <v>0</v>
      </c>
      <c r="S94" t="str">
        <f t="shared" si="8"/>
        <v>Cash-Based</v>
      </c>
      <c r="T94" t="str">
        <f t="shared" si="9"/>
        <v>One-Time User</v>
      </c>
    </row>
    <row r="95" spans="1:20" ht="15.75" customHeight="1" x14ac:dyDescent="0.3">
      <c r="A95" s="2" t="s">
        <v>276</v>
      </c>
      <c r="B95" s="2">
        <v>531859</v>
      </c>
      <c r="C95" s="2" t="s">
        <v>277</v>
      </c>
      <c r="D95" s="2">
        <v>640702669526</v>
      </c>
      <c r="E95" s="2" t="s">
        <v>64</v>
      </c>
      <c r="F95" s="2" t="s">
        <v>177</v>
      </c>
      <c r="G95" s="2" t="s">
        <v>178</v>
      </c>
      <c r="H95" s="2" t="s">
        <v>70</v>
      </c>
      <c r="I95" s="2" t="s">
        <v>48</v>
      </c>
      <c r="J95" s="2">
        <v>190072.68</v>
      </c>
      <c r="K95" s="2" t="s">
        <v>39</v>
      </c>
      <c r="L95" s="3">
        <v>45394</v>
      </c>
      <c r="M95" s="2" t="s">
        <v>24</v>
      </c>
      <c r="N95" s="2">
        <v>899951.25</v>
      </c>
      <c r="O95" s="2" t="s">
        <v>25</v>
      </c>
      <c r="P95" s="5" t="str">
        <f t="shared" si="5"/>
        <v>2024-04</v>
      </c>
      <c r="Q95">
        <f t="shared" si="6"/>
        <v>190072.68</v>
      </c>
      <c r="R95">
        <f t="shared" si="7"/>
        <v>0</v>
      </c>
      <c r="S95" t="str">
        <f t="shared" si="8"/>
        <v>Cash-Based</v>
      </c>
      <c r="T95" t="str">
        <f t="shared" si="9"/>
        <v>One-Time User</v>
      </c>
    </row>
    <row r="96" spans="1:20" ht="15.75" customHeight="1" x14ac:dyDescent="0.3">
      <c r="A96" s="2" t="s">
        <v>278</v>
      </c>
      <c r="B96" s="2">
        <v>405881</v>
      </c>
      <c r="C96" s="2" t="s">
        <v>279</v>
      </c>
      <c r="D96" s="2">
        <v>976230686799</v>
      </c>
      <c r="E96" s="2" t="s">
        <v>64</v>
      </c>
      <c r="F96" s="2" t="s">
        <v>65</v>
      </c>
      <c r="G96" s="2" t="s">
        <v>66</v>
      </c>
      <c r="H96" s="2" t="s">
        <v>31</v>
      </c>
      <c r="I96" s="2" t="s">
        <v>38</v>
      </c>
      <c r="J96" s="2">
        <v>93038.6</v>
      </c>
      <c r="K96" s="2" t="s">
        <v>98</v>
      </c>
      <c r="L96" s="3">
        <v>45321</v>
      </c>
      <c r="M96" s="2" t="s">
        <v>24</v>
      </c>
      <c r="N96" s="2">
        <v>1330639.23</v>
      </c>
      <c r="O96" s="2" t="s">
        <v>25</v>
      </c>
      <c r="P96" s="5" t="str">
        <f t="shared" si="5"/>
        <v>2024-01</v>
      </c>
      <c r="Q96">
        <f t="shared" si="6"/>
        <v>-93038.6</v>
      </c>
      <c r="R96">
        <f t="shared" si="7"/>
        <v>0</v>
      </c>
      <c r="S96" t="str">
        <f t="shared" si="8"/>
        <v>Cash-Based</v>
      </c>
      <c r="T96" t="str">
        <f t="shared" si="9"/>
        <v>One-Time User</v>
      </c>
    </row>
    <row r="97" spans="1:20" ht="15.75" customHeight="1" x14ac:dyDescent="0.3">
      <c r="A97" s="2" t="s">
        <v>280</v>
      </c>
      <c r="B97" s="2">
        <v>286469</v>
      </c>
      <c r="C97" s="2" t="s">
        <v>281</v>
      </c>
      <c r="D97" s="2">
        <v>605825525973</v>
      </c>
      <c r="E97" s="2" t="s">
        <v>28</v>
      </c>
      <c r="F97" s="2" t="s">
        <v>216</v>
      </c>
      <c r="G97" s="2" t="s">
        <v>217</v>
      </c>
      <c r="H97" s="2" t="s">
        <v>31</v>
      </c>
      <c r="I97" s="2" t="s">
        <v>38</v>
      </c>
      <c r="J97" s="2">
        <v>111276.4</v>
      </c>
      <c r="K97" s="2" t="s">
        <v>23</v>
      </c>
      <c r="L97" s="3">
        <v>45299</v>
      </c>
      <c r="M97" s="2" t="s">
        <v>24</v>
      </c>
      <c r="N97" s="2">
        <v>1518701.76</v>
      </c>
      <c r="O97" s="2" t="s">
        <v>25</v>
      </c>
      <c r="P97" s="5" t="str">
        <f t="shared" si="5"/>
        <v>2024-01</v>
      </c>
      <c r="Q97">
        <f t="shared" si="6"/>
        <v>-111276.4</v>
      </c>
      <c r="R97">
        <f t="shared" si="7"/>
        <v>0</v>
      </c>
      <c r="S97" t="str">
        <f t="shared" si="8"/>
        <v>Digital</v>
      </c>
      <c r="T97" t="str">
        <f t="shared" si="9"/>
        <v>One-Time User</v>
      </c>
    </row>
    <row r="98" spans="1:20" ht="15.75" customHeight="1" x14ac:dyDescent="0.3">
      <c r="A98" s="2" t="s">
        <v>282</v>
      </c>
      <c r="B98" s="2">
        <v>182726</v>
      </c>
      <c r="C98" s="2" t="s">
        <v>283</v>
      </c>
      <c r="D98" s="2">
        <v>915362443565</v>
      </c>
      <c r="E98" s="2" t="s">
        <v>35</v>
      </c>
      <c r="F98" s="2" t="s">
        <v>36</v>
      </c>
      <c r="G98" s="2" t="s">
        <v>37</v>
      </c>
      <c r="H98" s="2" t="s">
        <v>67</v>
      </c>
      <c r="I98" s="2" t="s">
        <v>48</v>
      </c>
      <c r="J98" s="2">
        <v>191244.09</v>
      </c>
      <c r="K98" s="2" t="s">
        <v>98</v>
      </c>
      <c r="L98" s="3">
        <v>45248</v>
      </c>
      <c r="M98" s="2" t="s">
        <v>24</v>
      </c>
      <c r="N98" s="2">
        <v>318250.03999999998</v>
      </c>
      <c r="O98" s="2" t="s">
        <v>25</v>
      </c>
      <c r="P98" s="5" t="str">
        <f t="shared" si="5"/>
        <v>2023-11</v>
      </c>
      <c r="Q98">
        <f t="shared" si="6"/>
        <v>191244.09</v>
      </c>
      <c r="R98">
        <f t="shared" si="7"/>
        <v>0</v>
      </c>
      <c r="S98" t="str">
        <f t="shared" si="8"/>
        <v>Cash-Based</v>
      </c>
      <c r="T98" t="str">
        <f t="shared" si="9"/>
        <v>One-Time User</v>
      </c>
    </row>
    <row r="99" spans="1:20" ht="15.75" customHeight="1" x14ac:dyDescent="0.3">
      <c r="A99" s="2" t="s">
        <v>284</v>
      </c>
      <c r="B99" s="2">
        <v>584031</v>
      </c>
      <c r="C99" s="2" t="s">
        <v>285</v>
      </c>
      <c r="D99" s="2">
        <v>858729220350</v>
      </c>
      <c r="E99" s="2" t="s">
        <v>18</v>
      </c>
      <c r="F99" s="2" t="s">
        <v>46</v>
      </c>
      <c r="G99" s="2" t="s">
        <v>47</v>
      </c>
      <c r="H99" s="2" t="s">
        <v>31</v>
      </c>
      <c r="I99" s="2" t="s">
        <v>22</v>
      </c>
      <c r="J99" s="2">
        <v>238817.39</v>
      </c>
      <c r="K99" s="2" t="s">
        <v>39</v>
      </c>
      <c r="L99" s="3">
        <v>45580</v>
      </c>
      <c r="M99" s="2" t="s">
        <v>24</v>
      </c>
      <c r="N99" s="2">
        <v>275766.65999999997</v>
      </c>
      <c r="O99" s="2" t="s">
        <v>179</v>
      </c>
      <c r="P99" s="5" t="str">
        <f t="shared" si="5"/>
        <v>2024-10</v>
      </c>
      <c r="Q99">
        <f t="shared" si="6"/>
        <v>238817.39</v>
      </c>
      <c r="R99">
        <f t="shared" si="7"/>
        <v>1</v>
      </c>
      <c r="S99" t="str">
        <f t="shared" si="8"/>
        <v>Cash-Based</v>
      </c>
      <c r="T99" t="str">
        <f t="shared" si="9"/>
        <v>One-Time User</v>
      </c>
    </row>
    <row r="100" spans="1:20" ht="15.75" customHeight="1" x14ac:dyDescent="0.3">
      <c r="A100" s="2" t="s">
        <v>286</v>
      </c>
      <c r="B100" s="2">
        <v>518914</v>
      </c>
      <c r="C100" s="2" t="s">
        <v>287</v>
      </c>
      <c r="D100" s="2">
        <v>741907644425</v>
      </c>
      <c r="E100" s="2" t="s">
        <v>91</v>
      </c>
      <c r="F100" s="2" t="s">
        <v>130</v>
      </c>
      <c r="G100" s="2" t="s">
        <v>131</v>
      </c>
      <c r="H100" s="2" t="s">
        <v>70</v>
      </c>
      <c r="I100" s="2" t="s">
        <v>53</v>
      </c>
      <c r="J100" s="2">
        <v>212352.26</v>
      </c>
      <c r="K100" s="2" t="s">
        <v>49</v>
      </c>
      <c r="L100" s="3">
        <v>45450</v>
      </c>
      <c r="M100" s="2" t="s">
        <v>24</v>
      </c>
      <c r="N100" s="2">
        <v>1767810</v>
      </c>
      <c r="O100" s="2" t="s">
        <v>25</v>
      </c>
      <c r="P100" s="5" t="str">
        <f t="shared" si="5"/>
        <v>2024-06</v>
      </c>
      <c r="Q100">
        <f t="shared" si="6"/>
        <v>212352.26</v>
      </c>
      <c r="R100">
        <f t="shared" si="7"/>
        <v>0</v>
      </c>
      <c r="S100" t="str">
        <f t="shared" si="8"/>
        <v>Cash-Based</v>
      </c>
      <c r="T100" t="str">
        <f t="shared" si="9"/>
        <v>One-Time User</v>
      </c>
    </row>
    <row r="101" spans="1:20" ht="15.75" customHeight="1" x14ac:dyDescent="0.3">
      <c r="A101" s="2" t="s">
        <v>288</v>
      </c>
      <c r="B101" s="2">
        <v>737238</v>
      </c>
      <c r="C101" s="2" t="s">
        <v>289</v>
      </c>
      <c r="D101" s="2">
        <v>184804419951</v>
      </c>
      <c r="E101" s="2" t="s">
        <v>35</v>
      </c>
      <c r="F101" s="2" t="s">
        <v>36</v>
      </c>
      <c r="G101" s="2" t="s">
        <v>37</v>
      </c>
      <c r="H101" s="2" t="s">
        <v>67</v>
      </c>
      <c r="I101" s="2" t="s">
        <v>48</v>
      </c>
      <c r="J101" s="2">
        <v>264455.89</v>
      </c>
      <c r="K101" s="2" t="s">
        <v>49</v>
      </c>
      <c r="L101" s="3">
        <v>45742</v>
      </c>
      <c r="M101" s="2" t="s">
        <v>24</v>
      </c>
      <c r="N101" s="2">
        <v>1732815.58</v>
      </c>
      <c r="O101" s="2" t="s">
        <v>25</v>
      </c>
      <c r="P101" s="5" t="str">
        <f t="shared" si="5"/>
        <v>2025-03</v>
      </c>
      <c r="Q101">
        <f t="shared" si="6"/>
        <v>264455.89</v>
      </c>
      <c r="R101">
        <f t="shared" si="7"/>
        <v>0</v>
      </c>
      <c r="S101" t="str">
        <f t="shared" si="8"/>
        <v>Cash-Based</v>
      </c>
      <c r="T101" t="str">
        <f t="shared" si="9"/>
        <v>One-Time User</v>
      </c>
    </row>
    <row r="102" spans="1:20" ht="15.75" customHeight="1" x14ac:dyDescent="0.3">
      <c r="A102" s="2" t="s">
        <v>290</v>
      </c>
      <c r="B102" s="2">
        <v>460707</v>
      </c>
      <c r="C102" s="2" t="s">
        <v>291</v>
      </c>
      <c r="D102" s="2">
        <v>503436480030</v>
      </c>
      <c r="E102" s="2" t="s">
        <v>18</v>
      </c>
      <c r="F102" s="2" t="s">
        <v>156</v>
      </c>
      <c r="G102" s="2" t="s">
        <v>157</v>
      </c>
      <c r="H102" s="2" t="s">
        <v>21</v>
      </c>
      <c r="I102" s="2" t="s">
        <v>48</v>
      </c>
      <c r="J102" s="2">
        <v>131212.89000000001</v>
      </c>
      <c r="K102" s="2" t="s">
        <v>98</v>
      </c>
      <c r="L102" s="3">
        <v>45392</v>
      </c>
      <c r="M102" s="2" t="s">
        <v>24</v>
      </c>
      <c r="N102" s="2">
        <v>1938830.27</v>
      </c>
      <c r="O102" s="2" t="s">
        <v>25</v>
      </c>
      <c r="P102" s="5" t="str">
        <f t="shared" si="5"/>
        <v>2024-04</v>
      </c>
      <c r="Q102">
        <f t="shared" si="6"/>
        <v>131212.89000000001</v>
      </c>
      <c r="R102">
        <f t="shared" si="7"/>
        <v>0</v>
      </c>
      <c r="S102" t="str">
        <f t="shared" si="8"/>
        <v>Cash-Based</v>
      </c>
      <c r="T102" t="str">
        <f t="shared" si="9"/>
        <v>One-Time User</v>
      </c>
    </row>
    <row r="103" spans="1:20" ht="15.75" customHeight="1" x14ac:dyDescent="0.3">
      <c r="A103" s="2" t="s">
        <v>292</v>
      </c>
      <c r="B103" s="2">
        <v>408467</v>
      </c>
      <c r="C103" s="2" t="s">
        <v>293</v>
      </c>
      <c r="D103" s="2">
        <v>443440313367</v>
      </c>
      <c r="E103" s="2" t="s">
        <v>28</v>
      </c>
      <c r="F103" s="2" t="s">
        <v>150</v>
      </c>
      <c r="G103" s="2" t="s">
        <v>151</v>
      </c>
      <c r="H103" s="2" t="s">
        <v>70</v>
      </c>
      <c r="I103" s="2" t="s">
        <v>48</v>
      </c>
      <c r="J103" s="2">
        <v>262020.46</v>
      </c>
      <c r="K103" s="2" t="s">
        <v>98</v>
      </c>
      <c r="L103" s="3">
        <v>45715</v>
      </c>
      <c r="M103" s="2" t="s">
        <v>24</v>
      </c>
      <c r="N103" s="2">
        <v>909536.89</v>
      </c>
      <c r="O103" s="2" t="s">
        <v>25</v>
      </c>
      <c r="P103" s="5" t="str">
        <f t="shared" si="5"/>
        <v>2025-02</v>
      </c>
      <c r="Q103">
        <f t="shared" si="6"/>
        <v>262020.46</v>
      </c>
      <c r="R103">
        <f t="shared" si="7"/>
        <v>0</v>
      </c>
      <c r="S103" t="str">
        <f t="shared" si="8"/>
        <v>Cash-Based</v>
      </c>
      <c r="T103" t="str">
        <f t="shared" si="9"/>
        <v>One-Time User</v>
      </c>
    </row>
    <row r="104" spans="1:20" ht="15.75" customHeight="1" x14ac:dyDescent="0.3">
      <c r="A104" s="2" t="s">
        <v>294</v>
      </c>
      <c r="B104" s="2">
        <v>544498</v>
      </c>
      <c r="C104" s="2" t="s">
        <v>295</v>
      </c>
      <c r="D104" s="2">
        <v>823134970926</v>
      </c>
      <c r="E104" s="2" t="s">
        <v>64</v>
      </c>
      <c r="F104" s="2" t="s">
        <v>83</v>
      </c>
      <c r="G104" s="2" t="s">
        <v>84</v>
      </c>
      <c r="H104" s="2" t="s">
        <v>21</v>
      </c>
      <c r="I104" s="2" t="s">
        <v>38</v>
      </c>
      <c r="J104" s="2">
        <v>124381.09</v>
      </c>
      <c r="K104" s="2" t="s">
        <v>98</v>
      </c>
      <c r="L104" s="3">
        <v>45318</v>
      </c>
      <c r="M104" s="2" t="s">
        <v>24</v>
      </c>
      <c r="N104" s="2">
        <v>908547.25</v>
      </c>
      <c r="O104" s="2" t="s">
        <v>25</v>
      </c>
      <c r="P104" s="5" t="str">
        <f t="shared" si="5"/>
        <v>2024-01</v>
      </c>
      <c r="Q104">
        <f t="shared" si="6"/>
        <v>-124381.09</v>
      </c>
      <c r="R104">
        <f t="shared" si="7"/>
        <v>0</v>
      </c>
      <c r="S104" t="str">
        <f t="shared" si="8"/>
        <v>Cash-Based</v>
      </c>
      <c r="T104" t="str">
        <f t="shared" si="9"/>
        <v>One-Time User</v>
      </c>
    </row>
    <row r="105" spans="1:20" ht="15.75" customHeight="1" x14ac:dyDescent="0.3">
      <c r="A105" s="2" t="s">
        <v>296</v>
      </c>
      <c r="B105" s="2">
        <v>621252</v>
      </c>
      <c r="C105" s="2" t="s">
        <v>297</v>
      </c>
      <c r="D105" s="2">
        <v>319436377684</v>
      </c>
      <c r="E105" s="2" t="s">
        <v>35</v>
      </c>
      <c r="F105" s="2" t="s">
        <v>42</v>
      </c>
      <c r="G105" s="2" t="s">
        <v>43</v>
      </c>
      <c r="H105" s="2" t="s">
        <v>70</v>
      </c>
      <c r="I105" s="2" t="s">
        <v>48</v>
      </c>
      <c r="J105" s="2">
        <v>160823.4</v>
      </c>
      <c r="K105" s="2" t="s">
        <v>32</v>
      </c>
      <c r="L105" s="3">
        <v>45818</v>
      </c>
      <c r="M105" s="2" t="s">
        <v>24</v>
      </c>
      <c r="N105" s="2">
        <v>1663818.17</v>
      </c>
      <c r="O105" s="2" t="s">
        <v>25</v>
      </c>
      <c r="P105" s="5" t="str">
        <f t="shared" si="5"/>
        <v>2025-06</v>
      </c>
      <c r="Q105">
        <f t="shared" si="6"/>
        <v>160823.4</v>
      </c>
      <c r="R105">
        <f t="shared" si="7"/>
        <v>0</v>
      </c>
      <c r="S105" t="str">
        <f t="shared" si="8"/>
        <v>Cash-Based</v>
      </c>
      <c r="T105" t="str">
        <f t="shared" si="9"/>
        <v>One-Time User</v>
      </c>
    </row>
    <row r="106" spans="1:20" ht="15.75" customHeight="1" x14ac:dyDescent="0.3">
      <c r="A106" s="2" t="s">
        <v>298</v>
      </c>
      <c r="B106" s="2">
        <v>726225</v>
      </c>
      <c r="C106" s="2" t="s">
        <v>299</v>
      </c>
      <c r="D106" s="2">
        <v>262242868098</v>
      </c>
      <c r="E106" s="2" t="s">
        <v>91</v>
      </c>
      <c r="F106" s="2" t="s">
        <v>109</v>
      </c>
      <c r="G106" s="2" t="s">
        <v>110</v>
      </c>
      <c r="H106" s="2" t="s">
        <v>70</v>
      </c>
      <c r="I106" s="2" t="s">
        <v>22</v>
      </c>
      <c r="J106" s="2">
        <v>580253.53</v>
      </c>
      <c r="K106" s="2" t="s">
        <v>98</v>
      </c>
      <c r="L106" s="3">
        <v>45301</v>
      </c>
      <c r="M106" s="2" t="s">
        <v>24</v>
      </c>
      <c r="N106" s="2">
        <v>2200135.6800000002</v>
      </c>
      <c r="O106" s="2" t="s">
        <v>25</v>
      </c>
      <c r="P106" s="5" t="str">
        <f t="shared" si="5"/>
        <v>2024-01</v>
      </c>
      <c r="Q106">
        <f t="shared" si="6"/>
        <v>580253.53</v>
      </c>
      <c r="R106">
        <f t="shared" si="7"/>
        <v>0</v>
      </c>
      <c r="S106" t="str">
        <f t="shared" si="8"/>
        <v>Cash-Based</v>
      </c>
      <c r="T106" t="str">
        <f t="shared" si="9"/>
        <v>One-Time User</v>
      </c>
    </row>
    <row r="107" spans="1:20" ht="15.75" customHeight="1" x14ac:dyDescent="0.3">
      <c r="A107" s="2" t="s">
        <v>300</v>
      </c>
      <c r="B107" s="2">
        <v>434987</v>
      </c>
      <c r="C107" s="2" t="s">
        <v>301</v>
      </c>
      <c r="D107" s="2">
        <v>513922347721</v>
      </c>
      <c r="E107" s="2" t="s">
        <v>18</v>
      </c>
      <c r="F107" s="2" t="s">
        <v>19</v>
      </c>
      <c r="G107" s="2" t="s">
        <v>20</v>
      </c>
      <c r="H107" s="2" t="s">
        <v>70</v>
      </c>
      <c r="I107" s="2" t="s">
        <v>22</v>
      </c>
      <c r="J107" s="2">
        <v>134600.71</v>
      </c>
      <c r="K107" s="2" t="s">
        <v>98</v>
      </c>
      <c r="L107" s="3">
        <v>45836</v>
      </c>
      <c r="M107" s="2" t="s">
        <v>24</v>
      </c>
      <c r="N107" s="2">
        <v>1982268</v>
      </c>
      <c r="O107" s="2" t="s">
        <v>25</v>
      </c>
      <c r="P107" s="5" t="str">
        <f t="shared" si="5"/>
        <v>2025-06</v>
      </c>
      <c r="Q107">
        <f t="shared" si="6"/>
        <v>134600.71</v>
      </c>
      <c r="R107">
        <f t="shared" si="7"/>
        <v>0</v>
      </c>
      <c r="S107" t="str">
        <f t="shared" si="8"/>
        <v>Cash-Based</v>
      </c>
      <c r="T107" t="str">
        <f t="shared" si="9"/>
        <v>One-Time User</v>
      </c>
    </row>
    <row r="108" spans="1:20" ht="15.75" customHeight="1" x14ac:dyDescent="0.3">
      <c r="A108" s="2" t="s">
        <v>302</v>
      </c>
      <c r="B108" s="2">
        <v>718531</v>
      </c>
      <c r="C108" s="2" t="s">
        <v>303</v>
      </c>
      <c r="D108" s="2">
        <v>904962141704</v>
      </c>
      <c r="E108" s="2" t="s">
        <v>91</v>
      </c>
      <c r="F108" s="2" t="s">
        <v>105</v>
      </c>
      <c r="G108" s="2" t="s">
        <v>106</v>
      </c>
      <c r="H108" s="2" t="s">
        <v>21</v>
      </c>
      <c r="I108" s="2" t="s">
        <v>38</v>
      </c>
      <c r="J108" s="2">
        <v>127508.79</v>
      </c>
      <c r="K108" s="2" t="s">
        <v>32</v>
      </c>
      <c r="L108" s="3">
        <v>45203</v>
      </c>
      <c r="M108" s="2" t="s">
        <v>24</v>
      </c>
      <c r="N108" s="2">
        <v>531027.1</v>
      </c>
      <c r="O108" s="2" t="s">
        <v>25</v>
      </c>
      <c r="P108" s="5" t="str">
        <f t="shared" si="5"/>
        <v>2023-10</v>
      </c>
      <c r="Q108">
        <f t="shared" si="6"/>
        <v>-127508.79</v>
      </c>
      <c r="R108">
        <f t="shared" si="7"/>
        <v>0</v>
      </c>
      <c r="S108" t="str">
        <f t="shared" si="8"/>
        <v>Cash-Based</v>
      </c>
      <c r="T108" t="str">
        <f t="shared" si="9"/>
        <v>One-Time User</v>
      </c>
    </row>
    <row r="109" spans="1:20" ht="15.75" customHeight="1" x14ac:dyDescent="0.3">
      <c r="A109" s="2" t="s">
        <v>304</v>
      </c>
      <c r="B109" s="2">
        <v>692379</v>
      </c>
      <c r="C109" s="2" t="s">
        <v>305</v>
      </c>
      <c r="D109" s="2">
        <v>488415133220</v>
      </c>
      <c r="E109" s="2" t="s">
        <v>91</v>
      </c>
      <c r="F109" s="2" t="s">
        <v>162</v>
      </c>
      <c r="G109" s="2" t="s">
        <v>163</v>
      </c>
      <c r="H109" s="2" t="s">
        <v>21</v>
      </c>
      <c r="I109" s="2" t="s">
        <v>53</v>
      </c>
      <c r="J109" s="2">
        <v>403120.57</v>
      </c>
      <c r="K109" s="2" t="s">
        <v>23</v>
      </c>
      <c r="L109" s="3">
        <v>45432</v>
      </c>
      <c r="M109" s="2" t="s">
        <v>24</v>
      </c>
      <c r="N109" s="2">
        <v>754321.82000000007</v>
      </c>
      <c r="O109" s="2" t="s">
        <v>25</v>
      </c>
      <c r="P109" s="5" t="str">
        <f t="shared" si="5"/>
        <v>2024-05</v>
      </c>
      <c r="Q109">
        <f t="shared" si="6"/>
        <v>403120.57</v>
      </c>
      <c r="R109">
        <f t="shared" si="7"/>
        <v>0</v>
      </c>
      <c r="S109" t="str">
        <f t="shared" si="8"/>
        <v>Digital</v>
      </c>
      <c r="T109" t="str">
        <f t="shared" si="9"/>
        <v>One-Time User</v>
      </c>
    </row>
    <row r="110" spans="1:20" ht="15.75" customHeight="1" x14ac:dyDescent="0.3">
      <c r="A110" s="2" t="s">
        <v>306</v>
      </c>
      <c r="B110" s="2">
        <v>533757</v>
      </c>
      <c r="C110" s="2" t="s">
        <v>307</v>
      </c>
      <c r="D110" s="2">
        <v>197930940390</v>
      </c>
      <c r="E110" s="2" t="s">
        <v>18</v>
      </c>
      <c r="F110" s="2" t="s">
        <v>87</v>
      </c>
      <c r="G110" s="2" t="s">
        <v>88</v>
      </c>
      <c r="H110" s="2" t="s">
        <v>70</v>
      </c>
      <c r="I110" s="2" t="s">
        <v>53</v>
      </c>
      <c r="J110" s="2">
        <v>384377.95</v>
      </c>
      <c r="K110" s="2" t="s">
        <v>23</v>
      </c>
      <c r="L110" s="3">
        <v>45618</v>
      </c>
      <c r="M110" s="2" t="s">
        <v>24</v>
      </c>
      <c r="N110" s="2">
        <v>943785.49</v>
      </c>
      <c r="O110" s="2" t="s">
        <v>25</v>
      </c>
      <c r="P110" s="5" t="str">
        <f t="shared" si="5"/>
        <v>2024-11</v>
      </c>
      <c r="Q110">
        <f t="shared" si="6"/>
        <v>384377.95</v>
      </c>
      <c r="R110">
        <f t="shared" si="7"/>
        <v>0</v>
      </c>
      <c r="S110" t="str">
        <f t="shared" si="8"/>
        <v>Digital</v>
      </c>
      <c r="T110" t="str">
        <f t="shared" si="9"/>
        <v>One-Time User</v>
      </c>
    </row>
    <row r="111" spans="1:20" ht="15.75" customHeight="1" x14ac:dyDescent="0.3">
      <c r="A111" s="2" t="s">
        <v>308</v>
      </c>
      <c r="B111" s="2">
        <v>317781</v>
      </c>
      <c r="C111" s="2" t="s">
        <v>309</v>
      </c>
      <c r="D111" s="2">
        <v>689762479864</v>
      </c>
      <c r="E111" s="2" t="s">
        <v>35</v>
      </c>
      <c r="F111" s="2" t="s">
        <v>60</v>
      </c>
      <c r="G111" s="2" t="s">
        <v>61</v>
      </c>
      <c r="H111" s="2" t="s">
        <v>21</v>
      </c>
      <c r="I111" s="2" t="s">
        <v>38</v>
      </c>
      <c r="J111" s="2">
        <v>12223.36</v>
      </c>
      <c r="K111" s="2" t="s">
        <v>49</v>
      </c>
      <c r="L111" s="3">
        <v>45254</v>
      </c>
      <c r="M111" s="2" t="s">
        <v>24</v>
      </c>
      <c r="N111" s="2">
        <v>211768.29</v>
      </c>
      <c r="O111" s="2" t="s">
        <v>25</v>
      </c>
      <c r="P111" s="5" t="str">
        <f t="shared" si="5"/>
        <v>2023-11</v>
      </c>
      <c r="Q111">
        <f t="shared" si="6"/>
        <v>-12223.36</v>
      </c>
      <c r="R111">
        <f t="shared" si="7"/>
        <v>0</v>
      </c>
      <c r="S111" t="str">
        <f t="shared" si="8"/>
        <v>Cash-Based</v>
      </c>
      <c r="T111" t="str">
        <f t="shared" si="9"/>
        <v>One-Time User</v>
      </c>
    </row>
    <row r="112" spans="1:20" ht="15.75" customHeight="1" x14ac:dyDescent="0.3">
      <c r="A112" s="2" t="s">
        <v>310</v>
      </c>
      <c r="B112" s="2">
        <v>409256</v>
      </c>
      <c r="C112" s="2" t="s">
        <v>311</v>
      </c>
      <c r="D112" s="2">
        <v>616978136350</v>
      </c>
      <c r="E112" s="2" t="s">
        <v>28</v>
      </c>
      <c r="F112" s="2" t="s">
        <v>192</v>
      </c>
      <c r="G112" s="2" t="s">
        <v>193</v>
      </c>
      <c r="H112" s="2" t="s">
        <v>67</v>
      </c>
      <c r="I112" s="2" t="s">
        <v>53</v>
      </c>
      <c r="J112" s="2">
        <v>497985.44</v>
      </c>
      <c r="K112" s="2" t="s">
        <v>49</v>
      </c>
      <c r="L112" s="3">
        <v>45505</v>
      </c>
      <c r="M112" s="2" t="s">
        <v>113</v>
      </c>
      <c r="N112" s="2">
        <v>899053.12</v>
      </c>
      <c r="O112" s="2" t="s">
        <v>25</v>
      </c>
      <c r="P112" s="5" t="str">
        <f t="shared" si="5"/>
        <v>2024-08</v>
      </c>
      <c r="Q112">
        <f t="shared" si="6"/>
        <v>497985.44</v>
      </c>
      <c r="R112">
        <f t="shared" si="7"/>
        <v>0</v>
      </c>
      <c r="S112" t="str">
        <f t="shared" si="8"/>
        <v>Cash-Based</v>
      </c>
      <c r="T112" t="str">
        <f t="shared" si="9"/>
        <v>One-Time User</v>
      </c>
    </row>
    <row r="113" spans="1:20" ht="15.75" customHeight="1" x14ac:dyDescent="0.3">
      <c r="A113" s="2" t="s">
        <v>312</v>
      </c>
      <c r="B113" s="2">
        <v>850255</v>
      </c>
      <c r="C113" s="2" t="s">
        <v>313</v>
      </c>
      <c r="D113" s="2">
        <v>989289734142</v>
      </c>
      <c r="E113" s="2" t="s">
        <v>64</v>
      </c>
      <c r="F113" s="2" t="s">
        <v>146</v>
      </c>
      <c r="G113" s="2" t="s">
        <v>147</v>
      </c>
      <c r="H113" s="2" t="s">
        <v>67</v>
      </c>
      <c r="I113" s="2" t="s">
        <v>38</v>
      </c>
      <c r="J113" s="2">
        <v>69366.789999999994</v>
      </c>
      <c r="K113" s="2" t="s">
        <v>49</v>
      </c>
      <c r="L113" s="3">
        <v>45580</v>
      </c>
      <c r="M113" s="2" t="s">
        <v>24</v>
      </c>
      <c r="N113" s="2">
        <v>1690157.48</v>
      </c>
      <c r="O113" s="2" t="s">
        <v>25</v>
      </c>
      <c r="P113" s="5" t="str">
        <f t="shared" si="5"/>
        <v>2024-10</v>
      </c>
      <c r="Q113">
        <f t="shared" si="6"/>
        <v>-69366.789999999994</v>
      </c>
      <c r="R113">
        <f t="shared" si="7"/>
        <v>0</v>
      </c>
      <c r="S113" t="str">
        <f t="shared" si="8"/>
        <v>Cash-Based</v>
      </c>
      <c r="T113" t="str">
        <f t="shared" si="9"/>
        <v>One-Time User</v>
      </c>
    </row>
    <row r="114" spans="1:20" ht="15.75" customHeight="1" x14ac:dyDescent="0.3">
      <c r="A114" s="2" t="s">
        <v>314</v>
      </c>
      <c r="B114" s="2">
        <v>678961</v>
      </c>
      <c r="C114" s="2" t="s">
        <v>315</v>
      </c>
      <c r="D114" s="2">
        <v>353294394784</v>
      </c>
      <c r="E114" s="2" t="s">
        <v>35</v>
      </c>
      <c r="F114" s="2" t="s">
        <v>42</v>
      </c>
      <c r="G114" s="2" t="s">
        <v>43</v>
      </c>
      <c r="H114" s="2" t="s">
        <v>21</v>
      </c>
      <c r="I114" s="2" t="s">
        <v>53</v>
      </c>
      <c r="J114" s="2">
        <v>89438.03</v>
      </c>
      <c r="K114" s="2" t="s">
        <v>23</v>
      </c>
      <c r="L114" s="3">
        <v>45502</v>
      </c>
      <c r="M114" s="2" t="s">
        <v>24</v>
      </c>
      <c r="N114" s="2">
        <v>613416.06000000006</v>
      </c>
      <c r="O114" s="2" t="s">
        <v>25</v>
      </c>
      <c r="P114" s="5" t="str">
        <f t="shared" si="5"/>
        <v>2024-07</v>
      </c>
      <c r="Q114">
        <f t="shared" si="6"/>
        <v>89438.03</v>
      </c>
      <c r="R114">
        <f t="shared" si="7"/>
        <v>0</v>
      </c>
      <c r="S114" t="str">
        <f t="shared" si="8"/>
        <v>Digital</v>
      </c>
      <c r="T114" t="str">
        <f t="shared" si="9"/>
        <v>One-Time User</v>
      </c>
    </row>
    <row r="115" spans="1:20" ht="15.75" customHeight="1" x14ac:dyDescent="0.3">
      <c r="A115" s="2" t="s">
        <v>316</v>
      </c>
      <c r="B115" s="2">
        <v>172992</v>
      </c>
      <c r="C115" s="2" t="s">
        <v>317</v>
      </c>
      <c r="D115" s="2">
        <v>879867008186</v>
      </c>
      <c r="E115" s="2" t="s">
        <v>91</v>
      </c>
      <c r="F115" s="2" t="s">
        <v>109</v>
      </c>
      <c r="G115" s="2" t="s">
        <v>110</v>
      </c>
      <c r="H115" s="2" t="s">
        <v>31</v>
      </c>
      <c r="I115" s="2" t="s">
        <v>38</v>
      </c>
      <c r="J115" s="2">
        <v>39572.94</v>
      </c>
      <c r="K115" s="2" t="s">
        <v>49</v>
      </c>
      <c r="L115" s="3">
        <v>45461</v>
      </c>
      <c r="M115" s="2" t="s">
        <v>24</v>
      </c>
      <c r="N115" s="2">
        <v>1837709.49</v>
      </c>
      <c r="O115" s="2" t="s">
        <v>25</v>
      </c>
      <c r="P115" s="5" t="str">
        <f t="shared" si="5"/>
        <v>2024-06</v>
      </c>
      <c r="Q115">
        <f t="shared" si="6"/>
        <v>-39572.94</v>
      </c>
      <c r="R115">
        <f t="shared" si="7"/>
        <v>0</v>
      </c>
      <c r="S115" t="str">
        <f t="shared" si="8"/>
        <v>Cash-Based</v>
      </c>
      <c r="T115" t="str">
        <f t="shared" si="9"/>
        <v>One-Time User</v>
      </c>
    </row>
    <row r="116" spans="1:20" ht="15.75" customHeight="1" x14ac:dyDescent="0.3">
      <c r="A116" s="2" t="s">
        <v>318</v>
      </c>
      <c r="B116" s="2">
        <v>618099</v>
      </c>
      <c r="C116" s="2" t="s">
        <v>319</v>
      </c>
      <c r="D116" s="2">
        <v>346427521349</v>
      </c>
      <c r="E116" s="2" t="s">
        <v>35</v>
      </c>
      <c r="F116" s="2" t="s">
        <v>60</v>
      </c>
      <c r="G116" s="2" t="s">
        <v>61</v>
      </c>
      <c r="H116" s="2" t="s">
        <v>31</v>
      </c>
      <c r="I116" s="2" t="s">
        <v>53</v>
      </c>
      <c r="J116" s="2">
        <v>175602.6</v>
      </c>
      <c r="K116" s="2" t="s">
        <v>49</v>
      </c>
      <c r="L116" s="3">
        <v>45299</v>
      </c>
      <c r="M116" s="2" t="s">
        <v>24</v>
      </c>
      <c r="N116" s="2">
        <v>1085277.28</v>
      </c>
      <c r="O116" s="2" t="s">
        <v>25</v>
      </c>
      <c r="P116" s="5" t="str">
        <f t="shared" si="5"/>
        <v>2024-01</v>
      </c>
      <c r="Q116">
        <f t="shared" si="6"/>
        <v>175602.6</v>
      </c>
      <c r="R116">
        <f t="shared" si="7"/>
        <v>0</v>
      </c>
      <c r="S116" t="str">
        <f t="shared" si="8"/>
        <v>Cash-Based</v>
      </c>
      <c r="T116" t="str">
        <f t="shared" si="9"/>
        <v>One-Time User</v>
      </c>
    </row>
    <row r="117" spans="1:20" ht="15.75" customHeight="1" x14ac:dyDescent="0.3">
      <c r="A117" s="2" t="s">
        <v>320</v>
      </c>
      <c r="B117" s="2">
        <v>245396</v>
      </c>
      <c r="C117" s="2" t="s">
        <v>321</v>
      </c>
      <c r="D117" s="2">
        <v>142582750102</v>
      </c>
      <c r="E117" s="2" t="s">
        <v>91</v>
      </c>
      <c r="F117" s="2" t="s">
        <v>130</v>
      </c>
      <c r="G117" s="2" t="s">
        <v>131</v>
      </c>
      <c r="H117" s="2" t="s">
        <v>21</v>
      </c>
      <c r="I117" s="2" t="s">
        <v>48</v>
      </c>
      <c r="J117" s="2">
        <v>287661.89</v>
      </c>
      <c r="K117" s="2" t="s">
        <v>39</v>
      </c>
      <c r="L117" s="3">
        <v>45568</v>
      </c>
      <c r="M117" s="2" t="s">
        <v>24</v>
      </c>
      <c r="N117" s="2">
        <v>509167.84</v>
      </c>
      <c r="O117" s="2" t="s">
        <v>25</v>
      </c>
      <c r="P117" s="5" t="str">
        <f t="shared" si="5"/>
        <v>2024-10</v>
      </c>
      <c r="Q117">
        <f t="shared" si="6"/>
        <v>287661.89</v>
      </c>
      <c r="R117">
        <f t="shared" si="7"/>
        <v>0</v>
      </c>
      <c r="S117" t="str">
        <f t="shared" si="8"/>
        <v>Cash-Based</v>
      </c>
      <c r="T117" t="str">
        <f t="shared" si="9"/>
        <v>One-Time User</v>
      </c>
    </row>
    <row r="118" spans="1:20" ht="15.75" customHeight="1" x14ac:dyDescent="0.3">
      <c r="A118" s="2" t="s">
        <v>322</v>
      </c>
      <c r="B118" s="2">
        <v>396948</v>
      </c>
      <c r="C118" s="2" t="s">
        <v>323</v>
      </c>
      <c r="D118" s="2">
        <v>847152245069</v>
      </c>
      <c r="E118" s="2" t="s">
        <v>28</v>
      </c>
      <c r="F118" s="2" t="s">
        <v>150</v>
      </c>
      <c r="G118" s="2" t="s">
        <v>151</v>
      </c>
      <c r="H118" s="2" t="s">
        <v>31</v>
      </c>
      <c r="I118" s="2" t="s">
        <v>22</v>
      </c>
      <c r="J118" s="2">
        <v>380035.38</v>
      </c>
      <c r="K118" s="2" t="s">
        <v>98</v>
      </c>
      <c r="L118" s="3">
        <v>45762</v>
      </c>
      <c r="M118" s="2" t="s">
        <v>24</v>
      </c>
      <c r="N118" s="2">
        <v>521060.94</v>
      </c>
      <c r="O118" s="2" t="s">
        <v>25</v>
      </c>
      <c r="P118" s="5" t="str">
        <f t="shared" si="5"/>
        <v>2025-04</v>
      </c>
      <c r="Q118">
        <f t="shared" si="6"/>
        <v>380035.38</v>
      </c>
      <c r="R118">
        <f t="shared" si="7"/>
        <v>0</v>
      </c>
      <c r="S118" t="str">
        <f t="shared" si="8"/>
        <v>Cash-Based</v>
      </c>
      <c r="T118" t="str">
        <f t="shared" si="9"/>
        <v>One-Time User</v>
      </c>
    </row>
    <row r="119" spans="1:20" ht="15.75" customHeight="1" x14ac:dyDescent="0.3">
      <c r="A119" s="2" t="s">
        <v>324</v>
      </c>
      <c r="B119" s="2">
        <v>627945</v>
      </c>
      <c r="C119" s="2" t="s">
        <v>325</v>
      </c>
      <c r="D119" s="2">
        <v>952800653604</v>
      </c>
      <c r="E119" s="2" t="s">
        <v>64</v>
      </c>
      <c r="F119" s="2" t="s">
        <v>146</v>
      </c>
      <c r="G119" s="2" t="s">
        <v>147</v>
      </c>
      <c r="H119" s="2" t="s">
        <v>67</v>
      </c>
      <c r="I119" s="2" t="s">
        <v>48</v>
      </c>
      <c r="J119" s="2">
        <v>153804.91</v>
      </c>
      <c r="K119" s="2" t="s">
        <v>49</v>
      </c>
      <c r="L119" s="3">
        <v>45170</v>
      </c>
      <c r="M119" s="2" t="s">
        <v>24</v>
      </c>
      <c r="N119" s="2">
        <v>1221345.6499999999</v>
      </c>
      <c r="O119" s="2" t="s">
        <v>25</v>
      </c>
      <c r="P119" s="5" t="str">
        <f t="shared" si="5"/>
        <v>2023-09</v>
      </c>
      <c r="Q119">
        <f t="shared" si="6"/>
        <v>153804.91</v>
      </c>
      <c r="R119">
        <f t="shared" si="7"/>
        <v>0</v>
      </c>
      <c r="S119" t="str">
        <f t="shared" si="8"/>
        <v>Cash-Based</v>
      </c>
      <c r="T119" t="str">
        <f t="shared" si="9"/>
        <v>One-Time User</v>
      </c>
    </row>
    <row r="120" spans="1:20" ht="15.75" customHeight="1" x14ac:dyDescent="0.3">
      <c r="A120" s="2" t="s">
        <v>326</v>
      </c>
      <c r="B120" s="2">
        <v>439411</v>
      </c>
      <c r="C120" s="2" t="s">
        <v>327</v>
      </c>
      <c r="D120" s="2">
        <v>802999451859</v>
      </c>
      <c r="E120" s="2" t="s">
        <v>35</v>
      </c>
      <c r="F120" s="2" t="s">
        <v>73</v>
      </c>
      <c r="G120" s="2" t="s">
        <v>74</v>
      </c>
      <c r="H120" s="2" t="s">
        <v>70</v>
      </c>
      <c r="I120" s="2" t="s">
        <v>53</v>
      </c>
      <c r="J120" s="2">
        <v>113618.28</v>
      </c>
      <c r="K120" s="2" t="s">
        <v>49</v>
      </c>
      <c r="L120" s="3">
        <v>45514</v>
      </c>
      <c r="M120" s="2" t="s">
        <v>24</v>
      </c>
      <c r="N120" s="2">
        <v>1191424.69</v>
      </c>
      <c r="O120" s="2" t="s">
        <v>25</v>
      </c>
      <c r="P120" s="5" t="str">
        <f t="shared" si="5"/>
        <v>2024-08</v>
      </c>
      <c r="Q120">
        <f t="shared" si="6"/>
        <v>113618.28</v>
      </c>
      <c r="R120">
        <f t="shared" si="7"/>
        <v>0</v>
      </c>
      <c r="S120" t="str">
        <f t="shared" si="8"/>
        <v>Cash-Based</v>
      </c>
      <c r="T120" t="str">
        <f t="shared" si="9"/>
        <v>One-Time User</v>
      </c>
    </row>
    <row r="121" spans="1:20" ht="15.75" customHeight="1" x14ac:dyDescent="0.3">
      <c r="A121" s="2" t="s">
        <v>328</v>
      </c>
      <c r="B121" s="2">
        <v>900676</v>
      </c>
      <c r="C121" s="2" t="s">
        <v>329</v>
      </c>
      <c r="D121" s="2">
        <v>980417793826</v>
      </c>
      <c r="E121" s="2" t="s">
        <v>28</v>
      </c>
      <c r="F121" s="2" t="s">
        <v>192</v>
      </c>
      <c r="G121" s="2" t="s">
        <v>193</v>
      </c>
      <c r="H121" s="2" t="s">
        <v>31</v>
      </c>
      <c r="I121" s="2" t="s">
        <v>53</v>
      </c>
      <c r="J121" s="2">
        <v>433074.01</v>
      </c>
      <c r="K121" s="2" t="s">
        <v>39</v>
      </c>
      <c r="L121" s="3">
        <v>45464</v>
      </c>
      <c r="M121" s="2" t="s">
        <v>24</v>
      </c>
      <c r="N121" s="2">
        <v>1054990.6399999999</v>
      </c>
      <c r="O121" s="2" t="s">
        <v>25</v>
      </c>
      <c r="P121" s="5" t="str">
        <f t="shared" si="5"/>
        <v>2024-06</v>
      </c>
      <c r="Q121">
        <f t="shared" si="6"/>
        <v>433074.01</v>
      </c>
      <c r="R121">
        <f t="shared" si="7"/>
        <v>0</v>
      </c>
      <c r="S121" t="str">
        <f t="shared" si="8"/>
        <v>Cash-Based</v>
      </c>
      <c r="T121" t="str">
        <f t="shared" si="9"/>
        <v>One-Time User</v>
      </c>
    </row>
    <row r="122" spans="1:20" ht="15.75" customHeight="1" x14ac:dyDescent="0.3">
      <c r="A122" s="2" t="s">
        <v>330</v>
      </c>
      <c r="B122" s="2">
        <v>843102</v>
      </c>
      <c r="C122" s="2" t="s">
        <v>331</v>
      </c>
      <c r="D122" s="2">
        <v>920697483092</v>
      </c>
      <c r="E122" s="2" t="s">
        <v>64</v>
      </c>
      <c r="F122" s="2" t="s">
        <v>83</v>
      </c>
      <c r="G122" s="2" t="s">
        <v>84</v>
      </c>
      <c r="H122" s="2" t="s">
        <v>67</v>
      </c>
      <c r="I122" s="2" t="s">
        <v>22</v>
      </c>
      <c r="J122" s="2">
        <v>149417.23000000001</v>
      </c>
      <c r="K122" s="2" t="s">
        <v>98</v>
      </c>
      <c r="L122" s="3">
        <v>45839</v>
      </c>
      <c r="M122" s="2" t="s">
        <v>24</v>
      </c>
      <c r="N122" s="2">
        <v>274117.08</v>
      </c>
      <c r="O122" s="2" t="s">
        <v>25</v>
      </c>
      <c r="P122" s="5" t="str">
        <f t="shared" si="5"/>
        <v>2025-07</v>
      </c>
      <c r="Q122">
        <f t="shared" si="6"/>
        <v>149417.23000000001</v>
      </c>
      <c r="R122">
        <f t="shared" si="7"/>
        <v>0</v>
      </c>
      <c r="S122" t="str">
        <f t="shared" si="8"/>
        <v>Cash-Based</v>
      </c>
      <c r="T122" t="str">
        <f t="shared" si="9"/>
        <v>One-Time User</v>
      </c>
    </row>
    <row r="123" spans="1:20" ht="15.75" customHeight="1" x14ac:dyDescent="0.3">
      <c r="A123" s="2" t="s">
        <v>332</v>
      </c>
      <c r="B123" s="2">
        <v>181978</v>
      </c>
      <c r="C123" s="2" t="s">
        <v>333</v>
      </c>
      <c r="D123" s="2">
        <v>440778300689</v>
      </c>
      <c r="E123" s="2" t="s">
        <v>18</v>
      </c>
      <c r="F123" s="2" t="s">
        <v>87</v>
      </c>
      <c r="G123" s="2" t="s">
        <v>88</v>
      </c>
      <c r="H123" s="2" t="s">
        <v>21</v>
      </c>
      <c r="I123" s="2" t="s">
        <v>22</v>
      </c>
      <c r="J123" s="2">
        <v>390198.76</v>
      </c>
      <c r="K123" s="2" t="s">
        <v>32</v>
      </c>
      <c r="L123" s="3">
        <v>45476</v>
      </c>
      <c r="M123" s="2" t="s">
        <v>24</v>
      </c>
      <c r="N123" s="2">
        <v>2155021.19</v>
      </c>
      <c r="O123" s="2" t="s">
        <v>25</v>
      </c>
      <c r="P123" s="5" t="str">
        <f t="shared" si="5"/>
        <v>2024-07</v>
      </c>
      <c r="Q123">
        <f t="shared" si="6"/>
        <v>390198.76</v>
      </c>
      <c r="R123">
        <f t="shared" si="7"/>
        <v>0</v>
      </c>
      <c r="S123" t="str">
        <f t="shared" si="8"/>
        <v>Cash-Based</v>
      </c>
      <c r="T123" t="str">
        <f t="shared" si="9"/>
        <v>One-Time User</v>
      </c>
    </row>
    <row r="124" spans="1:20" ht="15.75" customHeight="1" x14ac:dyDescent="0.3">
      <c r="A124" s="2" t="s">
        <v>334</v>
      </c>
      <c r="B124" s="2">
        <v>948408</v>
      </c>
      <c r="C124" s="2" t="s">
        <v>335</v>
      </c>
      <c r="D124" s="2">
        <v>176675428770</v>
      </c>
      <c r="E124" s="2" t="s">
        <v>28</v>
      </c>
      <c r="F124" s="2" t="s">
        <v>192</v>
      </c>
      <c r="G124" s="2" t="s">
        <v>193</v>
      </c>
      <c r="H124" s="2" t="s">
        <v>31</v>
      </c>
      <c r="I124" s="2" t="s">
        <v>53</v>
      </c>
      <c r="J124" s="2">
        <v>244655.55</v>
      </c>
      <c r="K124" s="2" t="s">
        <v>49</v>
      </c>
      <c r="L124" s="3">
        <v>45614</v>
      </c>
      <c r="M124" s="2" t="s">
        <v>24</v>
      </c>
      <c r="N124" s="2">
        <v>1771612.81</v>
      </c>
      <c r="O124" s="2" t="s">
        <v>25</v>
      </c>
      <c r="P124" s="5" t="str">
        <f t="shared" si="5"/>
        <v>2024-11</v>
      </c>
      <c r="Q124">
        <f t="shared" si="6"/>
        <v>244655.55</v>
      </c>
      <c r="R124">
        <f t="shared" si="7"/>
        <v>0</v>
      </c>
      <c r="S124" t="str">
        <f t="shared" si="8"/>
        <v>Cash-Based</v>
      </c>
      <c r="T124" t="str">
        <f t="shared" si="9"/>
        <v>One-Time User</v>
      </c>
    </row>
    <row r="125" spans="1:20" ht="15.75" customHeight="1" x14ac:dyDescent="0.3">
      <c r="A125" s="2" t="s">
        <v>336</v>
      </c>
      <c r="B125" s="2">
        <v>524156</v>
      </c>
      <c r="C125" s="2" t="s">
        <v>337</v>
      </c>
      <c r="D125" s="2">
        <v>300442436792</v>
      </c>
      <c r="E125" s="2" t="s">
        <v>91</v>
      </c>
      <c r="F125" s="2" t="s">
        <v>162</v>
      </c>
      <c r="G125" s="2" t="s">
        <v>163</v>
      </c>
      <c r="H125" s="2" t="s">
        <v>67</v>
      </c>
      <c r="I125" s="2" t="s">
        <v>22</v>
      </c>
      <c r="J125" s="2">
        <v>87325.57</v>
      </c>
      <c r="K125" s="2" t="s">
        <v>32</v>
      </c>
      <c r="L125" s="3">
        <v>45745</v>
      </c>
      <c r="M125" s="2" t="s">
        <v>113</v>
      </c>
      <c r="N125" s="2">
        <v>807658.13000000012</v>
      </c>
      <c r="O125" s="2" t="s">
        <v>25</v>
      </c>
      <c r="P125" s="5" t="str">
        <f t="shared" si="5"/>
        <v>2025-03</v>
      </c>
      <c r="Q125">
        <f t="shared" si="6"/>
        <v>87325.57</v>
      </c>
      <c r="R125">
        <f t="shared" si="7"/>
        <v>0</v>
      </c>
      <c r="S125" t="str">
        <f t="shared" si="8"/>
        <v>Cash-Based</v>
      </c>
      <c r="T125" t="str">
        <f t="shared" si="9"/>
        <v>One-Time User</v>
      </c>
    </row>
    <row r="126" spans="1:20" ht="15.75" customHeight="1" x14ac:dyDescent="0.3">
      <c r="A126" s="2" t="s">
        <v>338</v>
      </c>
      <c r="B126" s="2">
        <v>223350</v>
      </c>
      <c r="C126" s="2" t="s">
        <v>339</v>
      </c>
      <c r="D126" s="2">
        <v>650905653791</v>
      </c>
      <c r="E126" s="2" t="s">
        <v>28</v>
      </c>
      <c r="F126" s="2" t="s">
        <v>150</v>
      </c>
      <c r="G126" s="2" t="s">
        <v>151</v>
      </c>
      <c r="H126" s="2" t="s">
        <v>67</v>
      </c>
      <c r="I126" s="2" t="s">
        <v>53</v>
      </c>
      <c r="J126" s="2">
        <v>83160.84</v>
      </c>
      <c r="K126" s="2" t="s">
        <v>49</v>
      </c>
      <c r="L126" s="3">
        <v>45408</v>
      </c>
      <c r="M126" s="2" t="s">
        <v>24</v>
      </c>
      <c r="N126" s="2">
        <v>1048411.65</v>
      </c>
      <c r="O126" s="2" t="s">
        <v>25</v>
      </c>
      <c r="P126" s="5" t="str">
        <f t="shared" si="5"/>
        <v>2024-04</v>
      </c>
      <c r="Q126">
        <f t="shared" si="6"/>
        <v>83160.84</v>
      </c>
      <c r="R126">
        <f t="shared" si="7"/>
        <v>0</v>
      </c>
      <c r="S126" t="str">
        <f t="shared" si="8"/>
        <v>Cash-Based</v>
      </c>
      <c r="T126" t="str">
        <f t="shared" si="9"/>
        <v>One-Time User</v>
      </c>
    </row>
    <row r="127" spans="1:20" ht="15.75" customHeight="1" x14ac:dyDescent="0.3">
      <c r="A127" s="2" t="s">
        <v>340</v>
      </c>
      <c r="B127" s="2">
        <v>860759</v>
      </c>
      <c r="C127" s="2" t="s">
        <v>341</v>
      </c>
      <c r="D127" s="2">
        <v>274518043942</v>
      </c>
      <c r="E127" s="2" t="s">
        <v>91</v>
      </c>
      <c r="F127" s="2" t="s">
        <v>130</v>
      </c>
      <c r="G127" s="2" t="s">
        <v>131</v>
      </c>
      <c r="H127" s="2" t="s">
        <v>67</v>
      </c>
      <c r="I127" s="2" t="s">
        <v>48</v>
      </c>
      <c r="J127" s="2">
        <v>151300.17000000001</v>
      </c>
      <c r="K127" s="2" t="s">
        <v>23</v>
      </c>
      <c r="L127" s="3">
        <v>45591</v>
      </c>
      <c r="M127" s="2" t="s">
        <v>24</v>
      </c>
      <c r="N127" s="2">
        <v>2103522.29</v>
      </c>
      <c r="O127" s="2" t="s">
        <v>25</v>
      </c>
      <c r="P127" s="5" t="str">
        <f t="shared" si="5"/>
        <v>2024-10</v>
      </c>
      <c r="Q127">
        <f t="shared" si="6"/>
        <v>151300.17000000001</v>
      </c>
      <c r="R127">
        <f t="shared" si="7"/>
        <v>0</v>
      </c>
      <c r="S127" t="str">
        <f t="shared" si="8"/>
        <v>Digital</v>
      </c>
      <c r="T127" t="str">
        <f t="shared" si="9"/>
        <v>One-Time User</v>
      </c>
    </row>
    <row r="128" spans="1:20" ht="15.75" customHeight="1" x14ac:dyDescent="0.3">
      <c r="A128" s="2" t="s">
        <v>342</v>
      </c>
      <c r="B128" s="2">
        <v>275035</v>
      </c>
      <c r="C128" s="2" t="s">
        <v>343</v>
      </c>
      <c r="D128" s="2">
        <v>880276020182</v>
      </c>
      <c r="E128" s="2" t="s">
        <v>18</v>
      </c>
      <c r="F128" s="2" t="s">
        <v>19</v>
      </c>
      <c r="G128" s="2" t="s">
        <v>20</v>
      </c>
      <c r="H128" s="2" t="s">
        <v>21</v>
      </c>
      <c r="I128" s="2" t="s">
        <v>53</v>
      </c>
      <c r="J128" s="2">
        <v>459795.81</v>
      </c>
      <c r="K128" s="2" t="s">
        <v>49</v>
      </c>
      <c r="L128" s="3">
        <v>45724</v>
      </c>
      <c r="M128" s="2" t="s">
        <v>24</v>
      </c>
      <c r="N128" s="2">
        <v>727378.75</v>
      </c>
      <c r="O128" s="2" t="s">
        <v>25</v>
      </c>
      <c r="P128" s="5" t="str">
        <f t="shared" si="5"/>
        <v>2025-03</v>
      </c>
      <c r="Q128">
        <f t="shared" si="6"/>
        <v>459795.81</v>
      </c>
      <c r="R128">
        <f t="shared" si="7"/>
        <v>0</v>
      </c>
      <c r="S128" t="str">
        <f t="shared" si="8"/>
        <v>Cash-Based</v>
      </c>
      <c r="T128" t="str">
        <f t="shared" si="9"/>
        <v>One-Time User</v>
      </c>
    </row>
    <row r="129" spans="1:20" ht="15.75" customHeight="1" x14ac:dyDescent="0.3">
      <c r="A129" s="2" t="s">
        <v>344</v>
      </c>
      <c r="B129" s="2">
        <v>946700</v>
      </c>
      <c r="C129" s="2" t="s">
        <v>345</v>
      </c>
      <c r="D129" s="2">
        <v>444007230901</v>
      </c>
      <c r="E129" s="2" t="s">
        <v>18</v>
      </c>
      <c r="F129" s="2" t="s">
        <v>156</v>
      </c>
      <c r="G129" s="2" t="s">
        <v>157</v>
      </c>
      <c r="H129" s="2" t="s">
        <v>21</v>
      </c>
      <c r="I129" s="2" t="s">
        <v>48</v>
      </c>
      <c r="J129" s="2">
        <v>234750.67</v>
      </c>
      <c r="K129" s="2" t="s">
        <v>39</v>
      </c>
      <c r="L129" s="3">
        <v>45620</v>
      </c>
      <c r="M129" s="2" t="s">
        <v>24</v>
      </c>
      <c r="N129" s="2">
        <v>1655537.9</v>
      </c>
      <c r="O129" s="2" t="s">
        <v>25</v>
      </c>
      <c r="P129" s="5" t="str">
        <f t="shared" si="5"/>
        <v>2024-11</v>
      </c>
      <c r="Q129">
        <f t="shared" si="6"/>
        <v>234750.67</v>
      </c>
      <c r="R129">
        <f t="shared" si="7"/>
        <v>0</v>
      </c>
      <c r="S129" t="str">
        <f t="shared" si="8"/>
        <v>Cash-Based</v>
      </c>
      <c r="T129" t="str">
        <f t="shared" si="9"/>
        <v>One-Time User</v>
      </c>
    </row>
    <row r="130" spans="1:20" ht="15.75" customHeight="1" x14ac:dyDescent="0.3">
      <c r="A130" s="2" t="s">
        <v>346</v>
      </c>
      <c r="B130" s="2">
        <v>334468</v>
      </c>
      <c r="C130" s="2" t="s">
        <v>347</v>
      </c>
      <c r="D130" s="2">
        <v>799839515528</v>
      </c>
      <c r="E130" s="2" t="s">
        <v>64</v>
      </c>
      <c r="F130" s="2" t="s">
        <v>65</v>
      </c>
      <c r="G130" s="2" t="s">
        <v>66</v>
      </c>
      <c r="H130" s="2" t="s">
        <v>31</v>
      </c>
      <c r="I130" s="2" t="s">
        <v>48</v>
      </c>
      <c r="J130" s="2">
        <v>252952.49</v>
      </c>
      <c r="K130" s="2" t="s">
        <v>32</v>
      </c>
      <c r="L130" s="3">
        <v>45232</v>
      </c>
      <c r="M130" s="2" t="s">
        <v>24</v>
      </c>
      <c r="N130" s="2">
        <v>1472571.22</v>
      </c>
      <c r="O130" s="2" t="s">
        <v>25</v>
      </c>
      <c r="P130" s="5" t="str">
        <f t="shared" si="5"/>
        <v>2023-11</v>
      </c>
      <c r="Q130">
        <f t="shared" si="6"/>
        <v>252952.49</v>
      </c>
      <c r="R130">
        <f t="shared" si="7"/>
        <v>0</v>
      </c>
      <c r="S130" t="str">
        <f t="shared" si="8"/>
        <v>Cash-Based</v>
      </c>
      <c r="T130" t="str">
        <f t="shared" si="9"/>
        <v>One-Time User</v>
      </c>
    </row>
    <row r="131" spans="1:20" ht="15.75" customHeight="1" x14ac:dyDescent="0.3">
      <c r="A131" s="2" t="s">
        <v>348</v>
      </c>
      <c r="B131" s="2">
        <v>774637</v>
      </c>
      <c r="C131" s="2" t="s">
        <v>349</v>
      </c>
      <c r="D131" s="2">
        <v>431080009450</v>
      </c>
      <c r="E131" s="2" t="s">
        <v>64</v>
      </c>
      <c r="F131" s="2" t="s">
        <v>65</v>
      </c>
      <c r="G131" s="2" t="s">
        <v>66</v>
      </c>
      <c r="H131" s="2" t="s">
        <v>21</v>
      </c>
      <c r="I131" s="2" t="s">
        <v>22</v>
      </c>
      <c r="J131" s="2">
        <v>269429.23</v>
      </c>
      <c r="K131" s="2" t="s">
        <v>39</v>
      </c>
      <c r="L131" s="3">
        <v>45406</v>
      </c>
      <c r="M131" s="2" t="s">
        <v>24</v>
      </c>
      <c r="N131" s="2">
        <v>647570.24</v>
      </c>
      <c r="O131" s="2" t="s">
        <v>25</v>
      </c>
      <c r="P131" s="5" t="str">
        <f t="shared" ref="P131:P194" si="10">TEXT(L131,"yyyy-mm")</f>
        <v>2024-04</v>
      </c>
      <c r="Q131">
        <f t="shared" ref="Q131:Q194" si="11">IF(I131="Withdrawal",-J131,J131)</f>
        <v>269429.23</v>
      </c>
      <c r="R131">
        <f t="shared" ref="R131:R194" si="12">IF(O131="Yes",1,0)</f>
        <v>0</v>
      </c>
      <c r="S131" t="str">
        <f t="shared" ref="S131:S194" si="13">IF(OR(K131="ATM",K131="Mobile App",K131="UPI"),"Digital",IF(K131="Branch","Branch-Driven","Cash-Based"))</f>
        <v>Cash-Based</v>
      </c>
      <c r="T131" t="str">
        <f t="shared" ref="T131:T194" si="14">IF(COUNTIF($C:$C,C131)&gt;1,"Frequent Transactor","One-Time User")</f>
        <v>One-Time User</v>
      </c>
    </row>
    <row r="132" spans="1:20" ht="15.75" customHeight="1" x14ac:dyDescent="0.3">
      <c r="A132" s="2" t="s">
        <v>350</v>
      </c>
      <c r="B132" s="2">
        <v>851296</v>
      </c>
      <c r="C132" s="2" t="s">
        <v>351</v>
      </c>
      <c r="D132" s="2">
        <v>247431431877</v>
      </c>
      <c r="E132" s="2" t="s">
        <v>18</v>
      </c>
      <c r="F132" s="2" t="s">
        <v>56</v>
      </c>
      <c r="G132" s="2" t="s">
        <v>57</v>
      </c>
      <c r="H132" s="2" t="s">
        <v>67</v>
      </c>
      <c r="I132" s="2" t="s">
        <v>48</v>
      </c>
      <c r="J132" s="2">
        <v>193920.04</v>
      </c>
      <c r="K132" s="2" t="s">
        <v>32</v>
      </c>
      <c r="L132" s="3">
        <v>45120</v>
      </c>
      <c r="M132" s="2" t="s">
        <v>24</v>
      </c>
      <c r="N132" s="2">
        <v>1796676.19</v>
      </c>
      <c r="O132" s="2" t="s">
        <v>25</v>
      </c>
      <c r="P132" s="5" t="str">
        <f t="shared" si="10"/>
        <v>2023-07</v>
      </c>
      <c r="Q132">
        <f t="shared" si="11"/>
        <v>193920.04</v>
      </c>
      <c r="R132">
        <f t="shared" si="12"/>
        <v>0</v>
      </c>
      <c r="S132" t="str">
        <f t="shared" si="13"/>
        <v>Cash-Based</v>
      </c>
      <c r="T132" t="str">
        <f t="shared" si="14"/>
        <v>One-Time User</v>
      </c>
    </row>
    <row r="133" spans="1:20" ht="15.75" customHeight="1" x14ac:dyDescent="0.3">
      <c r="A133" s="2" t="s">
        <v>352</v>
      </c>
      <c r="B133" s="2">
        <v>322365</v>
      </c>
      <c r="C133" s="2" t="s">
        <v>353</v>
      </c>
      <c r="D133" s="2">
        <v>265051585781</v>
      </c>
      <c r="E133" s="2" t="s">
        <v>35</v>
      </c>
      <c r="F133" s="2" t="s">
        <v>42</v>
      </c>
      <c r="G133" s="2" t="s">
        <v>43</v>
      </c>
      <c r="H133" s="2" t="s">
        <v>70</v>
      </c>
      <c r="I133" s="2" t="s">
        <v>38</v>
      </c>
      <c r="J133" s="2">
        <v>56240.77</v>
      </c>
      <c r="K133" s="2" t="s">
        <v>49</v>
      </c>
      <c r="L133" s="3">
        <v>45441</v>
      </c>
      <c r="M133" s="2" t="s">
        <v>24</v>
      </c>
      <c r="N133" s="2">
        <v>1542002.49</v>
      </c>
      <c r="O133" s="2" t="s">
        <v>25</v>
      </c>
      <c r="P133" s="5" t="str">
        <f t="shared" si="10"/>
        <v>2024-05</v>
      </c>
      <c r="Q133">
        <f t="shared" si="11"/>
        <v>-56240.77</v>
      </c>
      <c r="R133">
        <f t="shared" si="12"/>
        <v>0</v>
      </c>
      <c r="S133" t="str">
        <f t="shared" si="13"/>
        <v>Cash-Based</v>
      </c>
      <c r="T133" t="str">
        <f t="shared" si="14"/>
        <v>One-Time User</v>
      </c>
    </row>
    <row r="134" spans="1:20" ht="15.75" customHeight="1" x14ac:dyDescent="0.3">
      <c r="A134" s="2" t="s">
        <v>354</v>
      </c>
      <c r="B134" s="2">
        <v>935644</v>
      </c>
      <c r="C134" s="2" t="s">
        <v>355</v>
      </c>
      <c r="D134" s="2">
        <v>177523340140</v>
      </c>
      <c r="E134" s="2" t="s">
        <v>35</v>
      </c>
      <c r="F134" s="2" t="s">
        <v>136</v>
      </c>
      <c r="G134" s="2" t="s">
        <v>137</v>
      </c>
      <c r="H134" s="2" t="s">
        <v>21</v>
      </c>
      <c r="I134" s="2" t="s">
        <v>22</v>
      </c>
      <c r="J134" s="2">
        <v>596395.99</v>
      </c>
      <c r="K134" s="2" t="s">
        <v>32</v>
      </c>
      <c r="L134" s="3">
        <v>45698</v>
      </c>
      <c r="M134" s="2" t="s">
        <v>113</v>
      </c>
      <c r="N134" s="2">
        <v>1639467.16</v>
      </c>
      <c r="O134" s="2" t="s">
        <v>25</v>
      </c>
      <c r="P134" s="5" t="str">
        <f t="shared" si="10"/>
        <v>2025-02</v>
      </c>
      <c r="Q134">
        <f t="shared" si="11"/>
        <v>596395.99</v>
      </c>
      <c r="R134">
        <f t="shared" si="12"/>
        <v>0</v>
      </c>
      <c r="S134" t="str">
        <f t="shared" si="13"/>
        <v>Cash-Based</v>
      </c>
      <c r="T134" t="str">
        <f t="shared" si="14"/>
        <v>One-Time User</v>
      </c>
    </row>
    <row r="135" spans="1:20" ht="15.75" customHeight="1" x14ac:dyDescent="0.3">
      <c r="A135" s="2" t="s">
        <v>356</v>
      </c>
      <c r="B135" s="2">
        <v>945657</v>
      </c>
      <c r="C135" s="2" t="s">
        <v>357</v>
      </c>
      <c r="D135" s="2">
        <v>792853366341</v>
      </c>
      <c r="E135" s="2" t="s">
        <v>91</v>
      </c>
      <c r="F135" s="2" t="s">
        <v>105</v>
      </c>
      <c r="G135" s="2" t="s">
        <v>106</v>
      </c>
      <c r="H135" s="2" t="s">
        <v>31</v>
      </c>
      <c r="I135" s="2" t="s">
        <v>48</v>
      </c>
      <c r="J135" s="2">
        <v>55038.21</v>
      </c>
      <c r="K135" s="2" t="s">
        <v>49</v>
      </c>
      <c r="L135" s="3">
        <v>45563</v>
      </c>
      <c r="M135" s="2" t="s">
        <v>24</v>
      </c>
      <c r="N135" s="2">
        <v>1811889.41</v>
      </c>
      <c r="O135" s="2" t="s">
        <v>25</v>
      </c>
      <c r="P135" s="5" t="str">
        <f t="shared" si="10"/>
        <v>2024-09</v>
      </c>
      <c r="Q135">
        <f t="shared" si="11"/>
        <v>55038.21</v>
      </c>
      <c r="R135">
        <f t="shared" si="12"/>
        <v>0</v>
      </c>
      <c r="S135" t="str">
        <f t="shared" si="13"/>
        <v>Cash-Based</v>
      </c>
      <c r="T135" t="str">
        <f t="shared" si="14"/>
        <v>One-Time User</v>
      </c>
    </row>
    <row r="136" spans="1:20" ht="15.75" customHeight="1" x14ac:dyDescent="0.3">
      <c r="A136" s="2" t="s">
        <v>358</v>
      </c>
      <c r="B136" s="2">
        <v>752028</v>
      </c>
      <c r="C136" s="2" t="s">
        <v>359</v>
      </c>
      <c r="D136" s="2">
        <v>805666817485</v>
      </c>
      <c r="E136" s="2" t="s">
        <v>18</v>
      </c>
      <c r="F136" s="2" t="s">
        <v>156</v>
      </c>
      <c r="G136" s="2" t="s">
        <v>157</v>
      </c>
      <c r="H136" s="2" t="s">
        <v>70</v>
      </c>
      <c r="I136" s="2" t="s">
        <v>48</v>
      </c>
      <c r="J136" s="2">
        <v>115885.54</v>
      </c>
      <c r="K136" s="2" t="s">
        <v>23</v>
      </c>
      <c r="L136" s="3">
        <v>45358</v>
      </c>
      <c r="M136" s="2" t="s">
        <v>24</v>
      </c>
      <c r="N136" s="2">
        <v>1391066.47</v>
      </c>
      <c r="O136" s="2" t="s">
        <v>25</v>
      </c>
      <c r="P136" s="5" t="str">
        <f t="shared" si="10"/>
        <v>2024-03</v>
      </c>
      <c r="Q136">
        <f t="shared" si="11"/>
        <v>115885.54</v>
      </c>
      <c r="R136">
        <f t="shared" si="12"/>
        <v>0</v>
      </c>
      <c r="S136" t="str">
        <f t="shared" si="13"/>
        <v>Digital</v>
      </c>
      <c r="T136" t="str">
        <f t="shared" si="14"/>
        <v>One-Time User</v>
      </c>
    </row>
    <row r="137" spans="1:20" ht="15.75" customHeight="1" x14ac:dyDescent="0.3">
      <c r="A137" s="2" t="s">
        <v>360</v>
      </c>
      <c r="B137" s="2">
        <v>751030</v>
      </c>
      <c r="C137" s="2" t="s">
        <v>361</v>
      </c>
      <c r="D137" s="2">
        <v>990579280992</v>
      </c>
      <c r="E137" s="2" t="s">
        <v>64</v>
      </c>
      <c r="F137" s="2" t="s">
        <v>65</v>
      </c>
      <c r="G137" s="2" t="s">
        <v>66</v>
      </c>
      <c r="H137" s="2" t="s">
        <v>70</v>
      </c>
      <c r="I137" s="2" t="s">
        <v>22</v>
      </c>
      <c r="J137" s="2">
        <v>526549.79</v>
      </c>
      <c r="K137" s="2" t="s">
        <v>98</v>
      </c>
      <c r="L137" s="3">
        <v>45749</v>
      </c>
      <c r="M137" s="2" t="s">
        <v>24</v>
      </c>
      <c r="N137" s="2">
        <v>1574601.6</v>
      </c>
      <c r="O137" s="2" t="s">
        <v>25</v>
      </c>
      <c r="P137" s="5" t="str">
        <f t="shared" si="10"/>
        <v>2025-04</v>
      </c>
      <c r="Q137">
        <f t="shared" si="11"/>
        <v>526549.79</v>
      </c>
      <c r="R137">
        <f t="shared" si="12"/>
        <v>0</v>
      </c>
      <c r="S137" t="str">
        <f t="shared" si="13"/>
        <v>Cash-Based</v>
      </c>
      <c r="T137" t="str">
        <f t="shared" si="14"/>
        <v>One-Time User</v>
      </c>
    </row>
    <row r="138" spans="1:20" ht="15.75" customHeight="1" x14ac:dyDescent="0.3">
      <c r="A138" s="2" t="s">
        <v>362</v>
      </c>
      <c r="B138" s="2">
        <v>728256</v>
      </c>
      <c r="C138" s="2" t="s">
        <v>363</v>
      </c>
      <c r="D138" s="2">
        <v>824494447566</v>
      </c>
      <c r="E138" s="2" t="s">
        <v>18</v>
      </c>
      <c r="F138" s="2" t="s">
        <v>19</v>
      </c>
      <c r="G138" s="2" t="s">
        <v>20</v>
      </c>
      <c r="H138" s="2" t="s">
        <v>67</v>
      </c>
      <c r="I138" s="2" t="s">
        <v>38</v>
      </c>
      <c r="J138" s="2">
        <v>44496.26</v>
      </c>
      <c r="K138" s="2" t="s">
        <v>39</v>
      </c>
      <c r="L138" s="3">
        <v>45536</v>
      </c>
      <c r="M138" s="2" t="s">
        <v>24</v>
      </c>
      <c r="N138" s="2">
        <v>1439911.83</v>
      </c>
      <c r="O138" s="2" t="s">
        <v>25</v>
      </c>
      <c r="P138" s="5" t="str">
        <f t="shared" si="10"/>
        <v>2024-09</v>
      </c>
      <c r="Q138">
        <f t="shared" si="11"/>
        <v>-44496.26</v>
      </c>
      <c r="R138">
        <f t="shared" si="12"/>
        <v>0</v>
      </c>
      <c r="S138" t="str">
        <f t="shared" si="13"/>
        <v>Cash-Based</v>
      </c>
      <c r="T138" t="str">
        <f t="shared" si="14"/>
        <v>One-Time User</v>
      </c>
    </row>
    <row r="139" spans="1:20" ht="15.75" customHeight="1" x14ac:dyDescent="0.3">
      <c r="A139" s="2" t="s">
        <v>364</v>
      </c>
      <c r="B139" s="2">
        <v>647407</v>
      </c>
      <c r="C139" s="2" t="s">
        <v>365</v>
      </c>
      <c r="D139" s="2">
        <v>859240583067</v>
      </c>
      <c r="E139" s="2" t="s">
        <v>91</v>
      </c>
      <c r="F139" s="2" t="s">
        <v>130</v>
      </c>
      <c r="G139" s="2" t="s">
        <v>131</v>
      </c>
      <c r="H139" s="2" t="s">
        <v>67</v>
      </c>
      <c r="I139" s="2" t="s">
        <v>48</v>
      </c>
      <c r="J139" s="2">
        <v>163254.69</v>
      </c>
      <c r="K139" s="2" t="s">
        <v>49</v>
      </c>
      <c r="L139" s="3">
        <v>45330</v>
      </c>
      <c r="M139" s="2" t="s">
        <v>24</v>
      </c>
      <c r="N139" s="2">
        <v>1363525.22</v>
      </c>
      <c r="O139" s="2" t="s">
        <v>25</v>
      </c>
      <c r="P139" s="5" t="str">
        <f t="shared" si="10"/>
        <v>2024-02</v>
      </c>
      <c r="Q139">
        <f t="shared" si="11"/>
        <v>163254.69</v>
      </c>
      <c r="R139">
        <f t="shared" si="12"/>
        <v>0</v>
      </c>
      <c r="S139" t="str">
        <f t="shared" si="13"/>
        <v>Cash-Based</v>
      </c>
      <c r="T139" t="str">
        <f t="shared" si="14"/>
        <v>One-Time User</v>
      </c>
    </row>
    <row r="140" spans="1:20" ht="15.75" customHeight="1" x14ac:dyDescent="0.3">
      <c r="A140" s="2" t="s">
        <v>366</v>
      </c>
      <c r="B140" s="2">
        <v>564962</v>
      </c>
      <c r="C140" s="2" t="s">
        <v>367</v>
      </c>
      <c r="D140" s="2">
        <v>462554663247</v>
      </c>
      <c r="E140" s="2" t="s">
        <v>35</v>
      </c>
      <c r="F140" s="2" t="s">
        <v>36</v>
      </c>
      <c r="G140" s="2" t="s">
        <v>37</v>
      </c>
      <c r="H140" s="2" t="s">
        <v>31</v>
      </c>
      <c r="I140" s="2" t="s">
        <v>38</v>
      </c>
      <c r="J140" s="2">
        <v>87082.25</v>
      </c>
      <c r="K140" s="2" t="s">
        <v>39</v>
      </c>
      <c r="L140" s="3">
        <v>45186</v>
      </c>
      <c r="M140" s="2" t="s">
        <v>24</v>
      </c>
      <c r="N140" s="2">
        <v>1821809.35</v>
      </c>
      <c r="O140" s="2" t="s">
        <v>25</v>
      </c>
      <c r="P140" s="5" t="str">
        <f t="shared" si="10"/>
        <v>2023-09</v>
      </c>
      <c r="Q140">
        <f t="shared" si="11"/>
        <v>-87082.25</v>
      </c>
      <c r="R140">
        <f t="shared" si="12"/>
        <v>0</v>
      </c>
      <c r="S140" t="str">
        <f t="shared" si="13"/>
        <v>Cash-Based</v>
      </c>
      <c r="T140" t="str">
        <f t="shared" si="14"/>
        <v>One-Time User</v>
      </c>
    </row>
    <row r="141" spans="1:20" ht="15.75" customHeight="1" x14ac:dyDescent="0.3">
      <c r="A141" s="2" t="s">
        <v>368</v>
      </c>
      <c r="B141" s="2">
        <v>772937</v>
      </c>
      <c r="C141" s="2" t="s">
        <v>369</v>
      </c>
      <c r="D141" s="2">
        <v>424979154506</v>
      </c>
      <c r="E141" s="2" t="s">
        <v>35</v>
      </c>
      <c r="F141" s="2" t="s">
        <v>60</v>
      </c>
      <c r="G141" s="2" t="s">
        <v>61</v>
      </c>
      <c r="H141" s="2" t="s">
        <v>31</v>
      </c>
      <c r="I141" s="2" t="s">
        <v>53</v>
      </c>
      <c r="J141" s="2">
        <v>16558.98</v>
      </c>
      <c r="K141" s="2" t="s">
        <v>32</v>
      </c>
      <c r="L141" s="3">
        <v>45252</v>
      </c>
      <c r="M141" s="2" t="s">
        <v>24</v>
      </c>
      <c r="N141" s="2">
        <v>1050564.5900000001</v>
      </c>
      <c r="O141" s="2" t="s">
        <v>25</v>
      </c>
      <c r="P141" s="5" t="str">
        <f t="shared" si="10"/>
        <v>2023-11</v>
      </c>
      <c r="Q141">
        <f t="shared" si="11"/>
        <v>16558.98</v>
      </c>
      <c r="R141">
        <f t="shared" si="12"/>
        <v>0</v>
      </c>
      <c r="S141" t="str">
        <f t="shared" si="13"/>
        <v>Cash-Based</v>
      </c>
      <c r="T141" t="str">
        <f t="shared" si="14"/>
        <v>One-Time User</v>
      </c>
    </row>
    <row r="142" spans="1:20" ht="15.75" customHeight="1" x14ac:dyDescent="0.3">
      <c r="A142" s="2" t="s">
        <v>370</v>
      </c>
      <c r="B142" s="2">
        <v>653047</v>
      </c>
      <c r="C142" s="2" t="s">
        <v>371</v>
      </c>
      <c r="D142" s="2">
        <v>594804478063</v>
      </c>
      <c r="E142" s="2" t="s">
        <v>64</v>
      </c>
      <c r="F142" s="2" t="s">
        <v>146</v>
      </c>
      <c r="G142" s="2" t="s">
        <v>147</v>
      </c>
      <c r="H142" s="2" t="s">
        <v>70</v>
      </c>
      <c r="I142" s="2" t="s">
        <v>53</v>
      </c>
      <c r="J142" s="2">
        <v>118445.89</v>
      </c>
      <c r="K142" s="2" t="s">
        <v>23</v>
      </c>
      <c r="L142" s="3">
        <v>45791</v>
      </c>
      <c r="M142" s="2" t="s">
        <v>24</v>
      </c>
      <c r="N142" s="2">
        <v>1940977.35</v>
      </c>
      <c r="O142" s="2" t="s">
        <v>179</v>
      </c>
      <c r="P142" s="5" t="str">
        <f t="shared" si="10"/>
        <v>2025-05</v>
      </c>
      <c r="Q142">
        <f t="shared" si="11"/>
        <v>118445.89</v>
      </c>
      <c r="R142">
        <f t="shared" si="12"/>
        <v>1</v>
      </c>
      <c r="S142" t="str">
        <f t="shared" si="13"/>
        <v>Digital</v>
      </c>
      <c r="T142" t="str">
        <f t="shared" si="14"/>
        <v>One-Time User</v>
      </c>
    </row>
    <row r="143" spans="1:20" ht="15.75" customHeight="1" x14ac:dyDescent="0.3">
      <c r="A143" s="2" t="s">
        <v>372</v>
      </c>
      <c r="B143" s="2">
        <v>866889</v>
      </c>
      <c r="C143" s="2" t="s">
        <v>373</v>
      </c>
      <c r="D143" s="2">
        <v>200258397818</v>
      </c>
      <c r="E143" s="2" t="s">
        <v>28</v>
      </c>
      <c r="F143" s="2" t="s">
        <v>192</v>
      </c>
      <c r="G143" s="2" t="s">
        <v>193</v>
      </c>
      <c r="H143" s="2" t="s">
        <v>31</v>
      </c>
      <c r="I143" s="2" t="s">
        <v>22</v>
      </c>
      <c r="J143" s="2">
        <v>538363.37</v>
      </c>
      <c r="K143" s="2" t="s">
        <v>32</v>
      </c>
      <c r="L143" s="3">
        <v>45238</v>
      </c>
      <c r="M143" s="2" t="s">
        <v>24</v>
      </c>
      <c r="N143" s="2">
        <v>1370478.57</v>
      </c>
      <c r="O143" s="2" t="s">
        <v>25</v>
      </c>
      <c r="P143" s="5" t="str">
        <f t="shared" si="10"/>
        <v>2023-11</v>
      </c>
      <c r="Q143">
        <f t="shared" si="11"/>
        <v>538363.37</v>
      </c>
      <c r="R143">
        <f t="shared" si="12"/>
        <v>0</v>
      </c>
      <c r="S143" t="str">
        <f t="shared" si="13"/>
        <v>Cash-Based</v>
      </c>
      <c r="T143" t="str">
        <f t="shared" si="14"/>
        <v>One-Time User</v>
      </c>
    </row>
    <row r="144" spans="1:20" ht="15.75" customHeight="1" x14ac:dyDescent="0.3">
      <c r="A144" s="2" t="s">
        <v>374</v>
      </c>
      <c r="B144" s="2">
        <v>350891</v>
      </c>
      <c r="C144" s="2" t="s">
        <v>375</v>
      </c>
      <c r="D144" s="2">
        <v>554515895107</v>
      </c>
      <c r="E144" s="2" t="s">
        <v>18</v>
      </c>
      <c r="F144" s="2" t="s">
        <v>56</v>
      </c>
      <c r="G144" s="2" t="s">
        <v>57</v>
      </c>
      <c r="H144" s="2" t="s">
        <v>31</v>
      </c>
      <c r="I144" s="2" t="s">
        <v>48</v>
      </c>
      <c r="J144" s="2">
        <v>115989.38</v>
      </c>
      <c r="K144" s="2" t="s">
        <v>23</v>
      </c>
      <c r="L144" s="3">
        <v>45691</v>
      </c>
      <c r="M144" s="2" t="s">
        <v>24</v>
      </c>
      <c r="N144" s="2">
        <v>998213.89</v>
      </c>
      <c r="O144" s="2" t="s">
        <v>25</v>
      </c>
      <c r="P144" s="5" t="str">
        <f t="shared" si="10"/>
        <v>2025-02</v>
      </c>
      <c r="Q144">
        <f t="shared" si="11"/>
        <v>115989.38</v>
      </c>
      <c r="R144">
        <f t="shared" si="12"/>
        <v>0</v>
      </c>
      <c r="S144" t="str">
        <f t="shared" si="13"/>
        <v>Digital</v>
      </c>
      <c r="T144" t="str">
        <f t="shared" si="14"/>
        <v>One-Time User</v>
      </c>
    </row>
    <row r="145" spans="1:20" ht="15.75" customHeight="1" x14ac:dyDescent="0.3">
      <c r="A145" s="2" t="s">
        <v>376</v>
      </c>
      <c r="B145" s="2">
        <v>882580</v>
      </c>
      <c r="C145" s="2" t="s">
        <v>377</v>
      </c>
      <c r="D145" s="2">
        <v>551881289169</v>
      </c>
      <c r="E145" s="2" t="s">
        <v>91</v>
      </c>
      <c r="F145" s="2" t="s">
        <v>130</v>
      </c>
      <c r="G145" s="2" t="s">
        <v>131</v>
      </c>
      <c r="H145" s="2" t="s">
        <v>67</v>
      </c>
      <c r="I145" s="2" t="s">
        <v>38</v>
      </c>
      <c r="J145" s="2">
        <v>118044.41</v>
      </c>
      <c r="K145" s="2" t="s">
        <v>32</v>
      </c>
      <c r="L145" s="3">
        <v>45727</v>
      </c>
      <c r="M145" s="2" t="s">
        <v>24</v>
      </c>
      <c r="N145" s="2">
        <v>866095.88</v>
      </c>
      <c r="O145" s="2" t="s">
        <v>25</v>
      </c>
      <c r="P145" s="5" t="str">
        <f t="shared" si="10"/>
        <v>2025-03</v>
      </c>
      <c r="Q145">
        <f t="shared" si="11"/>
        <v>-118044.41</v>
      </c>
      <c r="R145">
        <f t="shared" si="12"/>
        <v>0</v>
      </c>
      <c r="S145" t="str">
        <f t="shared" si="13"/>
        <v>Cash-Based</v>
      </c>
      <c r="T145" t="str">
        <f t="shared" si="14"/>
        <v>One-Time User</v>
      </c>
    </row>
    <row r="146" spans="1:20" ht="15.75" customHeight="1" x14ac:dyDescent="0.3">
      <c r="A146" s="2" t="s">
        <v>378</v>
      </c>
      <c r="B146" s="2">
        <v>658908</v>
      </c>
      <c r="C146" s="2" t="s">
        <v>379</v>
      </c>
      <c r="D146" s="2">
        <v>432189750305</v>
      </c>
      <c r="E146" s="2" t="s">
        <v>18</v>
      </c>
      <c r="F146" s="2" t="s">
        <v>156</v>
      </c>
      <c r="G146" s="2" t="s">
        <v>157</v>
      </c>
      <c r="H146" s="2" t="s">
        <v>21</v>
      </c>
      <c r="I146" s="2" t="s">
        <v>48</v>
      </c>
      <c r="J146" s="2">
        <v>75762.73</v>
      </c>
      <c r="K146" s="2" t="s">
        <v>98</v>
      </c>
      <c r="L146" s="3">
        <v>45671</v>
      </c>
      <c r="M146" s="2" t="s">
        <v>24</v>
      </c>
      <c r="N146" s="2">
        <v>646653.53</v>
      </c>
      <c r="O146" s="2" t="s">
        <v>25</v>
      </c>
      <c r="P146" s="5" t="str">
        <f t="shared" si="10"/>
        <v>2025-01</v>
      </c>
      <c r="Q146">
        <f t="shared" si="11"/>
        <v>75762.73</v>
      </c>
      <c r="R146">
        <f t="shared" si="12"/>
        <v>0</v>
      </c>
      <c r="S146" t="str">
        <f t="shared" si="13"/>
        <v>Cash-Based</v>
      </c>
      <c r="T146" t="str">
        <f t="shared" si="14"/>
        <v>One-Time User</v>
      </c>
    </row>
    <row r="147" spans="1:20" ht="15.75" customHeight="1" x14ac:dyDescent="0.3">
      <c r="A147" s="2" t="s">
        <v>380</v>
      </c>
      <c r="B147" s="2">
        <v>995453</v>
      </c>
      <c r="C147" s="2" t="s">
        <v>381</v>
      </c>
      <c r="D147" s="2">
        <v>548282814998</v>
      </c>
      <c r="E147" s="2" t="s">
        <v>35</v>
      </c>
      <c r="F147" s="2" t="s">
        <v>42</v>
      </c>
      <c r="G147" s="2" t="s">
        <v>43</v>
      </c>
      <c r="H147" s="2" t="s">
        <v>31</v>
      </c>
      <c r="I147" s="2" t="s">
        <v>53</v>
      </c>
      <c r="J147" s="2">
        <v>469955.81</v>
      </c>
      <c r="K147" s="2" t="s">
        <v>23</v>
      </c>
      <c r="L147" s="3">
        <v>45682</v>
      </c>
      <c r="M147" s="2" t="s">
        <v>24</v>
      </c>
      <c r="N147" s="2">
        <v>2048155.91</v>
      </c>
      <c r="O147" s="2" t="s">
        <v>25</v>
      </c>
      <c r="P147" s="5" t="str">
        <f t="shared" si="10"/>
        <v>2025-01</v>
      </c>
      <c r="Q147">
        <f t="shared" si="11"/>
        <v>469955.81</v>
      </c>
      <c r="R147">
        <f t="shared" si="12"/>
        <v>0</v>
      </c>
      <c r="S147" t="str">
        <f t="shared" si="13"/>
        <v>Digital</v>
      </c>
      <c r="T147" t="str">
        <f t="shared" si="14"/>
        <v>One-Time User</v>
      </c>
    </row>
    <row r="148" spans="1:20" ht="15.75" customHeight="1" x14ac:dyDescent="0.3">
      <c r="A148" s="2" t="s">
        <v>382</v>
      </c>
      <c r="B148" s="2">
        <v>481552</v>
      </c>
      <c r="C148" s="2" t="s">
        <v>383</v>
      </c>
      <c r="D148" s="2">
        <v>599383994938</v>
      </c>
      <c r="E148" s="2" t="s">
        <v>18</v>
      </c>
      <c r="F148" s="2" t="s">
        <v>46</v>
      </c>
      <c r="G148" s="2" t="s">
        <v>47</v>
      </c>
      <c r="H148" s="2" t="s">
        <v>21</v>
      </c>
      <c r="I148" s="2" t="s">
        <v>22</v>
      </c>
      <c r="J148" s="2">
        <v>147489.57999999999</v>
      </c>
      <c r="K148" s="2" t="s">
        <v>39</v>
      </c>
      <c r="L148" s="3">
        <v>45122</v>
      </c>
      <c r="M148" s="2" t="s">
        <v>24</v>
      </c>
      <c r="N148" s="2">
        <v>1667932.38</v>
      </c>
      <c r="O148" s="2" t="s">
        <v>25</v>
      </c>
      <c r="P148" s="5" t="str">
        <f t="shared" si="10"/>
        <v>2023-07</v>
      </c>
      <c r="Q148">
        <f t="shared" si="11"/>
        <v>147489.57999999999</v>
      </c>
      <c r="R148">
        <f t="shared" si="12"/>
        <v>0</v>
      </c>
      <c r="S148" t="str">
        <f t="shared" si="13"/>
        <v>Cash-Based</v>
      </c>
      <c r="T148" t="str">
        <f t="shared" si="14"/>
        <v>One-Time User</v>
      </c>
    </row>
    <row r="149" spans="1:20" ht="15.75" customHeight="1" x14ac:dyDescent="0.3">
      <c r="A149" s="2" t="s">
        <v>384</v>
      </c>
      <c r="B149" s="2">
        <v>946300</v>
      </c>
      <c r="C149" s="2" t="s">
        <v>385</v>
      </c>
      <c r="D149" s="2">
        <v>118420256517</v>
      </c>
      <c r="E149" s="2" t="s">
        <v>18</v>
      </c>
      <c r="F149" s="2" t="s">
        <v>87</v>
      </c>
      <c r="G149" s="2" t="s">
        <v>88</v>
      </c>
      <c r="H149" s="2" t="s">
        <v>67</v>
      </c>
      <c r="I149" s="2" t="s">
        <v>38</v>
      </c>
      <c r="J149" s="2">
        <v>133972.62</v>
      </c>
      <c r="K149" s="2" t="s">
        <v>98</v>
      </c>
      <c r="L149" s="3">
        <v>45679</v>
      </c>
      <c r="M149" s="2" t="s">
        <v>24</v>
      </c>
      <c r="N149" s="2">
        <v>412865.25</v>
      </c>
      <c r="O149" s="2" t="s">
        <v>25</v>
      </c>
      <c r="P149" s="5" t="str">
        <f t="shared" si="10"/>
        <v>2025-01</v>
      </c>
      <c r="Q149">
        <f t="shared" si="11"/>
        <v>-133972.62</v>
      </c>
      <c r="R149">
        <f t="shared" si="12"/>
        <v>0</v>
      </c>
      <c r="S149" t="str">
        <f t="shared" si="13"/>
        <v>Cash-Based</v>
      </c>
      <c r="T149" t="str">
        <f t="shared" si="14"/>
        <v>One-Time User</v>
      </c>
    </row>
    <row r="150" spans="1:20" ht="15.75" customHeight="1" x14ac:dyDescent="0.3">
      <c r="A150" s="2" t="s">
        <v>386</v>
      </c>
      <c r="B150" s="2">
        <v>358049</v>
      </c>
      <c r="C150" s="2" t="s">
        <v>387</v>
      </c>
      <c r="D150" s="2">
        <v>499277122705</v>
      </c>
      <c r="E150" s="2" t="s">
        <v>35</v>
      </c>
      <c r="F150" s="2" t="s">
        <v>36</v>
      </c>
      <c r="G150" s="2" t="s">
        <v>37</v>
      </c>
      <c r="H150" s="2" t="s">
        <v>31</v>
      </c>
      <c r="I150" s="2" t="s">
        <v>53</v>
      </c>
      <c r="J150" s="2">
        <v>406154.8</v>
      </c>
      <c r="K150" s="2" t="s">
        <v>49</v>
      </c>
      <c r="L150" s="3">
        <v>45466</v>
      </c>
      <c r="M150" s="2" t="s">
        <v>24</v>
      </c>
      <c r="N150" s="2">
        <v>2345208.34</v>
      </c>
      <c r="O150" s="2" t="s">
        <v>25</v>
      </c>
      <c r="P150" s="5" t="str">
        <f t="shared" si="10"/>
        <v>2024-06</v>
      </c>
      <c r="Q150">
        <f t="shared" si="11"/>
        <v>406154.8</v>
      </c>
      <c r="R150">
        <f t="shared" si="12"/>
        <v>0</v>
      </c>
      <c r="S150" t="str">
        <f t="shared" si="13"/>
        <v>Cash-Based</v>
      </c>
      <c r="T150" t="str">
        <f t="shared" si="14"/>
        <v>One-Time User</v>
      </c>
    </row>
    <row r="151" spans="1:20" ht="15.75" customHeight="1" x14ac:dyDescent="0.3">
      <c r="A151" s="2" t="s">
        <v>388</v>
      </c>
      <c r="B151" s="2">
        <v>579752</v>
      </c>
      <c r="C151" s="2" t="s">
        <v>389</v>
      </c>
      <c r="D151" s="2">
        <v>185223890909</v>
      </c>
      <c r="E151" s="2" t="s">
        <v>35</v>
      </c>
      <c r="F151" s="2" t="s">
        <v>73</v>
      </c>
      <c r="G151" s="2" t="s">
        <v>74</v>
      </c>
      <c r="H151" s="2" t="s">
        <v>70</v>
      </c>
      <c r="I151" s="2" t="s">
        <v>53</v>
      </c>
      <c r="J151" s="2">
        <v>92892.9</v>
      </c>
      <c r="K151" s="2" t="s">
        <v>32</v>
      </c>
      <c r="L151" s="3">
        <v>45153</v>
      </c>
      <c r="M151" s="2" t="s">
        <v>24</v>
      </c>
      <c r="N151" s="2">
        <v>164830.29999999999</v>
      </c>
      <c r="O151" s="2" t="s">
        <v>25</v>
      </c>
      <c r="P151" s="5" t="str">
        <f t="shared" si="10"/>
        <v>2023-08</v>
      </c>
      <c r="Q151">
        <f t="shared" si="11"/>
        <v>92892.9</v>
      </c>
      <c r="R151">
        <f t="shared" si="12"/>
        <v>0</v>
      </c>
      <c r="S151" t="str">
        <f t="shared" si="13"/>
        <v>Cash-Based</v>
      </c>
      <c r="T151" t="str">
        <f t="shared" si="14"/>
        <v>One-Time User</v>
      </c>
    </row>
    <row r="152" spans="1:20" ht="15.75" customHeight="1" x14ac:dyDescent="0.3">
      <c r="A152" s="2" t="s">
        <v>390</v>
      </c>
      <c r="B152" s="2">
        <v>982731</v>
      </c>
      <c r="C152" s="2" t="s">
        <v>391</v>
      </c>
      <c r="D152" s="2">
        <v>126451823883</v>
      </c>
      <c r="E152" s="2" t="s">
        <v>64</v>
      </c>
      <c r="F152" s="2" t="s">
        <v>65</v>
      </c>
      <c r="G152" s="2" t="s">
        <v>66</v>
      </c>
      <c r="H152" s="2" t="s">
        <v>31</v>
      </c>
      <c r="I152" s="2" t="s">
        <v>53</v>
      </c>
      <c r="J152" s="2">
        <v>193006.63</v>
      </c>
      <c r="K152" s="2" t="s">
        <v>32</v>
      </c>
      <c r="L152" s="3">
        <v>45192</v>
      </c>
      <c r="M152" s="2" t="s">
        <v>24</v>
      </c>
      <c r="N152" s="2">
        <v>670537.15</v>
      </c>
      <c r="O152" s="2" t="s">
        <v>25</v>
      </c>
      <c r="P152" s="5" t="str">
        <f t="shared" si="10"/>
        <v>2023-09</v>
      </c>
      <c r="Q152">
        <f t="shared" si="11"/>
        <v>193006.63</v>
      </c>
      <c r="R152">
        <f t="shared" si="12"/>
        <v>0</v>
      </c>
      <c r="S152" t="str">
        <f t="shared" si="13"/>
        <v>Cash-Based</v>
      </c>
      <c r="T152" t="str">
        <f t="shared" si="14"/>
        <v>One-Time User</v>
      </c>
    </row>
    <row r="153" spans="1:20" ht="15.75" customHeight="1" x14ac:dyDescent="0.3">
      <c r="A153" s="2" t="s">
        <v>392</v>
      </c>
      <c r="B153" s="2">
        <v>695378</v>
      </c>
      <c r="C153" s="2" t="s">
        <v>393</v>
      </c>
      <c r="D153" s="2">
        <v>464662276260</v>
      </c>
      <c r="E153" s="2" t="s">
        <v>91</v>
      </c>
      <c r="F153" s="2" t="s">
        <v>109</v>
      </c>
      <c r="G153" s="2" t="s">
        <v>110</v>
      </c>
      <c r="H153" s="2" t="s">
        <v>70</v>
      </c>
      <c r="I153" s="2" t="s">
        <v>22</v>
      </c>
      <c r="J153" s="2">
        <v>160451.89000000001</v>
      </c>
      <c r="K153" s="2" t="s">
        <v>32</v>
      </c>
      <c r="L153" s="3">
        <v>45735</v>
      </c>
      <c r="M153" s="2" t="s">
        <v>24</v>
      </c>
      <c r="N153" s="2">
        <v>310616.62</v>
      </c>
      <c r="O153" s="2" t="s">
        <v>25</v>
      </c>
      <c r="P153" s="5" t="str">
        <f t="shared" si="10"/>
        <v>2025-03</v>
      </c>
      <c r="Q153">
        <f t="shared" si="11"/>
        <v>160451.89000000001</v>
      </c>
      <c r="R153">
        <f t="shared" si="12"/>
        <v>0</v>
      </c>
      <c r="S153" t="str">
        <f t="shared" si="13"/>
        <v>Cash-Based</v>
      </c>
      <c r="T153" t="str">
        <f t="shared" si="14"/>
        <v>One-Time User</v>
      </c>
    </row>
    <row r="154" spans="1:20" ht="15.75" customHeight="1" x14ac:dyDescent="0.3">
      <c r="A154" s="2" t="s">
        <v>394</v>
      </c>
      <c r="B154" s="2">
        <v>749260</v>
      </c>
      <c r="C154" s="2" t="s">
        <v>395</v>
      </c>
      <c r="D154" s="2">
        <v>924783774270</v>
      </c>
      <c r="E154" s="2" t="s">
        <v>64</v>
      </c>
      <c r="F154" s="2" t="s">
        <v>166</v>
      </c>
      <c r="G154" s="2" t="s">
        <v>167</v>
      </c>
      <c r="H154" s="2" t="s">
        <v>70</v>
      </c>
      <c r="I154" s="2" t="s">
        <v>48</v>
      </c>
      <c r="J154" s="2">
        <v>277196.03000000003</v>
      </c>
      <c r="K154" s="2" t="s">
        <v>32</v>
      </c>
      <c r="L154" s="3">
        <v>45430</v>
      </c>
      <c r="M154" s="2" t="s">
        <v>168</v>
      </c>
      <c r="N154" s="2">
        <v>707859.62000000011</v>
      </c>
      <c r="O154" s="2" t="s">
        <v>25</v>
      </c>
      <c r="P154" s="5" t="str">
        <f t="shared" si="10"/>
        <v>2024-05</v>
      </c>
      <c r="Q154">
        <f t="shared" si="11"/>
        <v>277196.03000000003</v>
      </c>
      <c r="R154">
        <f t="shared" si="12"/>
        <v>0</v>
      </c>
      <c r="S154" t="str">
        <f t="shared" si="13"/>
        <v>Cash-Based</v>
      </c>
      <c r="T154" t="str">
        <f t="shared" si="14"/>
        <v>One-Time User</v>
      </c>
    </row>
    <row r="155" spans="1:20" ht="15.75" customHeight="1" x14ac:dyDescent="0.3">
      <c r="A155" s="2" t="s">
        <v>396</v>
      </c>
      <c r="B155" s="2">
        <v>957981</v>
      </c>
      <c r="C155" s="2" t="s">
        <v>397</v>
      </c>
      <c r="D155" s="2">
        <v>855946759203</v>
      </c>
      <c r="E155" s="2" t="s">
        <v>64</v>
      </c>
      <c r="F155" s="2" t="s">
        <v>146</v>
      </c>
      <c r="G155" s="2" t="s">
        <v>147</v>
      </c>
      <c r="H155" s="2" t="s">
        <v>21</v>
      </c>
      <c r="I155" s="2" t="s">
        <v>53</v>
      </c>
      <c r="J155" s="2">
        <v>69841.899999999994</v>
      </c>
      <c r="K155" s="2" t="s">
        <v>49</v>
      </c>
      <c r="L155" s="3">
        <v>45632</v>
      </c>
      <c r="M155" s="2" t="s">
        <v>24</v>
      </c>
      <c r="N155" s="2">
        <v>891749.57000000007</v>
      </c>
      <c r="O155" s="2" t="s">
        <v>25</v>
      </c>
      <c r="P155" s="5" t="str">
        <f t="shared" si="10"/>
        <v>2024-12</v>
      </c>
      <c r="Q155">
        <f t="shared" si="11"/>
        <v>69841.899999999994</v>
      </c>
      <c r="R155">
        <f t="shared" si="12"/>
        <v>0</v>
      </c>
      <c r="S155" t="str">
        <f t="shared" si="13"/>
        <v>Cash-Based</v>
      </c>
      <c r="T155" t="str">
        <f t="shared" si="14"/>
        <v>One-Time User</v>
      </c>
    </row>
    <row r="156" spans="1:20" ht="15.75" customHeight="1" x14ac:dyDescent="0.3">
      <c r="A156" s="2" t="s">
        <v>398</v>
      </c>
      <c r="B156" s="2">
        <v>893415</v>
      </c>
      <c r="C156" s="2" t="s">
        <v>399</v>
      </c>
      <c r="D156" s="2">
        <v>956396989936</v>
      </c>
      <c r="E156" s="2" t="s">
        <v>28</v>
      </c>
      <c r="F156" s="2" t="s">
        <v>29</v>
      </c>
      <c r="G156" s="2" t="s">
        <v>30</v>
      </c>
      <c r="H156" s="2" t="s">
        <v>70</v>
      </c>
      <c r="I156" s="2" t="s">
        <v>22</v>
      </c>
      <c r="J156" s="2">
        <v>267487.64</v>
      </c>
      <c r="K156" s="2" t="s">
        <v>32</v>
      </c>
      <c r="L156" s="3">
        <v>45677</v>
      </c>
      <c r="M156" s="2" t="s">
        <v>24</v>
      </c>
      <c r="N156" s="2">
        <v>2062972.87</v>
      </c>
      <c r="O156" s="2" t="s">
        <v>25</v>
      </c>
      <c r="P156" s="5" t="str">
        <f t="shared" si="10"/>
        <v>2025-01</v>
      </c>
      <c r="Q156">
        <f t="shared" si="11"/>
        <v>267487.64</v>
      </c>
      <c r="R156">
        <f t="shared" si="12"/>
        <v>0</v>
      </c>
      <c r="S156" t="str">
        <f t="shared" si="13"/>
        <v>Cash-Based</v>
      </c>
      <c r="T156" t="str">
        <f t="shared" si="14"/>
        <v>One-Time User</v>
      </c>
    </row>
    <row r="157" spans="1:20" ht="15.75" customHeight="1" x14ac:dyDescent="0.3">
      <c r="A157" s="2" t="s">
        <v>400</v>
      </c>
      <c r="B157" s="2">
        <v>270470</v>
      </c>
      <c r="C157" s="2" t="s">
        <v>401</v>
      </c>
      <c r="D157" s="2">
        <v>194148450617</v>
      </c>
      <c r="E157" s="2" t="s">
        <v>18</v>
      </c>
      <c r="F157" s="2" t="s">
        <v>87</v>
      </c>
      <c r="G157" s="2" t="s">
        <v>88</v>
      </c>
      <c r="H157" s="2" t="s">
        <v>31</v>
      </c>
      <c r="I157" s="2" t="s">
        <v>53</v>
      </c>
      <c r="J157" s="2">
        <v>70696.570000000007</v>
      </c>
      <c r="K157" s="2" t="s">
        <v>32</v>
      </c>
      <c r="L157" s="3">
        <v>45595</v>
      </c>
      <c r="M157" s="2" t="s">
        <v>24</v>
      </c>
      <c r="N157" s="2">
        <v>102989.25</v>
      </c>
      <c r="O157" s="2" t="s">
        <v>25</v>
      </c>
      <c r="P157" s="5" t="str">
        <f t="shared" si="10"/>
        <v>2024-10</v>
      </c>
      <c r="Q157">
        <f t="shared" si="11"/>
        <v>70696.570000000007</v>
      </c>
      <c r="R157">
        <f t="shared" si="12"/>
        <v>0</v>
      </c>
      <c r="S157" t="str">
        <f t="shared" si="13"/>
        <v>Cash-Based</v>
      </c>
      <c r="T157" t="str">
        <f t="shared" si="14"/>
        <v>One-Time User</v>
      </c>
    </row>
    <row r="158" spans="1:20" ht="15.75" customHeight="1" x14ac:dyDescent="0.3">
      <c r="A158" s="2" t="s">
        <v>402</v>
      </c>
      <c r="B158" s="2">
        <v>775874</v>
      </c>
      <c r="C158" s="2" t="s">
        <v>403</v>
      </c>
      <c r="D158" s="2">
        <v>113624287115</v>
      </c>
      <c r="E158" s="2" t="s">
        <v>28</v>
      </c>
      <c r="F158" s="2" t="s">
        <v>150</v>
      </c>
      <c r="G158" s="2" t="s">
        <v>151</v>
      </c>
      <c r="H158" s="2" t="s">
        <v>21</v>
      </c>
      <c r="I158" s="2" t="s">
        <v>38</v>
      </c>
      <c r="J158" s="2">
        <v>111768.05</v>
      </c>
      <c r="K158" s="2" t="s">
        <v>32</v>
      </c>
      <c r="L158" s="3">
        <v>45761</v>
      </c>
      <c r="M158" s="2" t="s">
        <v>24</v>
      </c>
      <c r="N158" s="2">
        <v>1778008.15</v>
      </c>
      <c r="O158" s="2" t="s">
        <v>25</v>
      </c>
      <c r="P158" s="5" t="str">
        <f t="shared" si="10"/>
        <v>2025-04</v>
      </c>
      <c r="Q158">
        <f t="shared" si="11"/>
        <v>-111768.05</v>
      </c>
      <c r="R158">
        <f t="shared" si="12"/>
        <v>0</v>
      </c>
      <c r="S158" t="str">
        <f t="shared" si="13"/>
        <v>Cash-Based</v>
      </c>
      <c r="T158" t="str">
        <f t="shared" si="14"/>
        <v>One-Time User</v>
      </c>
    </row>
    <row r="159" spans="1:20" ht="15.75" customHeight="1" x14ac:dyDescent="0.3">
      <c r="A159" s="2" t="s">
        <v>404</v>
      </c>
      <c r="B159" s="2">
        <v>264651</v>
      </c>
      <c r="C159" s="2" t="s">
        <v>405</v>
      </c>
      <c r="D159" s="2">
        <v>687564757084</v>
      </c>
      <c r="E159" s="2" t="s">
        <v>64</v>
      </c>
      <c r="F159" s="2" t="s">
        <v>65</v>
      </c>
      <c r="G159" s="2" t="s">
        <v>66</v>
      </c>
      <c r="H159" s="2" t="s">
        <v>67</v>
      </c>
      <c r="I159" s="2" t="s">
        <v>48</v>
      </c>
      <c r="J159" s="2">
        <v>185535.98</v>
      </c>
      <c r="K159" s="2" t="s">
        <v>49</v>
      </c>
      <c r="L159" s="3">
        <v>45734</v>
      </c>
      <c r="M159" s="2" t="s">
        <v>24</v>
      </c>
      <c r="N159" s="2">
        <v>594950.13</v>
      </c>
      <c r="O159" s="2" t="s">
        <v>25</v>
      </c>
      <c r="P159" s="5" t="str">
        <f t="shared" si="10"/>
        <v>2025-03</v>
      </c>
      <c r="Q159">
        <f t="shared" si="11"/>
        <v>185535.98</v>
      </c>
      <c r="R159">
        <f t="shared" si="12"/>
        <v>0</v>
      </c>
      <c r="S159" t="str">
        <f t="shared" si="13"/>
        <v>Cash-Based</v>
      </c>
      <c r="T159" t="str">
        <f t="shared" si="14"/>
        <v>One-Time User</v>
      </c>
    </row>
    <row r="160" spans="1:20" ht="15.75" customHeight="1" x14ac:dyDescent="0.3">
      <c r="A160" s="2" t="s">
        <v>406</v>
      </c>
      <c r="B160" s="2">
        <v>464154</v>
      </c>
      <c r="C160" s="2" t="s">
        <v>407</v>
      </c>
      <c r="D160" s="2">
        <v>219059604533</v>
      </c>
      <c r="E160" s="2" t="s">
        <v>64</v>
      </c>
      <c r="F160" s="2" t="s">
        <v>177</v>
      </c>
      <c r="G160" s="2" t="s">
        <v>178</v>
      </c>
      <c r="H160" s="2" t="s">
        <v>31</v>
      </c>
      <c r="I160" s="2" t="s">
        <v>22</v>
      </c>
      <c r="J160" s="2">
        <v>443617.87</v>
      </c>
      <c r="K160" s="2" t="s">
        <v>49</v>
      </c>
      <c r="L160" s="3">
        <v>45567</v>
      </c>
      <c r="M160" s="2" t="s">
        <v>24</v>
      </c>
      <c r="N160" s="2">
        <v>797962.84</v>
      </c>
      <c r="O160" s="2" t="s">
        <v>25</v>
      </c>
      <c r="P160" s="5" t="str">
        <f t="shared" si="10"/>
        <v>2024-10</v>
      </c>
      <c r="Q160">
        <f t="shared" si="11"/>
        <v>443617.87</v>
      </c>
      <c r="R160">
        <f t="shared" si="12"/>
        <v>0</v>
      </c>
      <c r="S160" t="str">
        <f t="shared" si="13"/>
        <v>Cash-Based</v>
      </c>
      <c r="T160" t="str">
        <f t="shared" si="14"/>
        <v>One-Time User</v>
      </c>
    </row>
    <row r="161" spans="1:20" ht="15.75" customHeight="1" x14ac:dyDescent="0.3">
      <c r="A161" s="2" t="s">
        <v>408</v>
      </c>
      <c r="B161" s="2">
        <v>146344</v>
      </c>
      <c r="C161" s="2" t="s">
        <v>409</v>
      </c>
      <c r="D161" s="2">
        <v>802060333395</v>
      </c>
      <c r="E161" s="2" t="s">
        <v>28</v>
      </c>
      <c r="F161" s="2" t="s">
        <v>192</v>
      </c>
      <c r="G161" s="2" t="s">
        <v>193</v>
      </c>
      <c r="H161" s="2" t="s">
        <v>21</v>
      </c>
      <c r="I161" s="2" t="s">
        <v>53</v>
      </c>
      <c r="J161" s="2">
        <v>21505.02</v>
      </c>
      <c r="K161" s="2" t="s">
        <v>98</v>
      </c>
      <c r="L161" s="3">
        <v>45171</v>
      </c>
      <c r="M161" s="2" t="s">
        <v>24</v>
      </c>
      <c r="N161" s="2">
        <v>1932874.96</v>
      </c>
      <c r="O161" s="2" t="s">
        <v>25</v>
      </c>
      <c r="P161" s="5" t="str">
        <f t="shared" si="10"/>
        <v>2023-09</v>
      </c>
      <c r="Q161">
        <f t="shared" si="11"/>
        <v>21505.02</v>
      </c>
      <c r="R161">
        <f t="shared" si="12"/>
        <v>0</v>
      </c>
      <c r="S161" t="str">
        <f t="shared" si="13"/>
        <v>Cash-Based</v>
      </c>
      <c r="T161" t="str">
        <f t="shared" si="14"/>
        <v>One-Time User</v>
      </c>
    </row>
    <row r="162" spans="1:20" ht="15.75" customHeight="1" x14ac:dyDescent="0.3">
      <c r="A162" s="2" t="s">
        <v>410</v>
      </c>
      <c r="B162" s="2">
        <v>575179</v>
      </c>
      <c r="C162" s="2" t="s">
        <v>411</v>
      </c>
      <c r="D162" s="2">
        <v>950574724598</v>
      </c>
      <c r="E162" s="2" t="s">
        <v>18</v>
      </c>
      <c r="F162" s="2" t="s">
        <v>46</v>
      </c>
      <c r="G162" s="2" t="s">
        <v>47</v>
      </c>
      <c r="H162" s="2" t="s">
        <v>67</v>
      </c>
      <c r="I162" s="2" t="s">
        <v>48</v>
      </c>
      <c r="J162" s="2">
        <v>41041.120000000003</v>
      </c>
      <c r="K162" s="2" t="s">
        <v>23</v>
      </c>
      <c r="L162" s="3">
        <v>45794</v>
      </c>
      <c r="M162" s="2" t="s">
        <v>24</v>
      </c>
      <c r="N162" s="2">
        <v>137008.63</v>
      </c>
      <c r="O162" s="2" t="s">
        <v>25</v>
      </c>
      <c r="P162" s="5" t="str">
        <f t="shared" si="10"/>
        <v>2025-05</v>
      </c>
      <c r="Q162">
        <f t="shared" si="11"/>
        <v>41041.120000000003</v>
      </c>
      <c r="R162">
        <f t="shared" si="12"/>
        <v>0</v>
      </c>
      <c r="S162" t="str">
        <f t="shared" si="13"/>
        <v>Digital</v>
      </c>
      <c r="T162" t="str">
        <f t="shared" si="14"/>
        <v>One-Time User</v>
      </c>
    </row>
    <row r="163" spans="1:20" ht="15.75" customHeight="1" x14ac:dyDescent="0.3">
      <c r="A163" s="2" t="s">
        <v>412</v>
      </c>
      <c r="B163" s="2">
        <v>721340</v>
      </c>
      <c r="C163" s="2" t="s">
        <v>413</v>
      </c>
      <c r="D163" s="2">
        <v>555966315099</v>
      </c>
      <c r="E163" s="2" t="s">
        <v>18</v>
      </c>
      <c r="F163" s="2" t="s">
        <v>56</v>
      </c>
      <c r="G163" s="2" t="s">
        <v>57</v>
      </c>
      <c r="H163" s="2" t="s">
        <v>31</v>
      </c>
      <c r="I163" s="2" t="s">
        <v>38</v>
      </c>
      <c r="J163" s="2">
        <v>127514.79</v>
      </c>
      <c r="K163" s="2" t="s">
        <v>98</v>
      </c>
      <c r="L163" s="3">
        <v>45275</v>
      </c>
      <c r="M163" s="2" t="s">
        <v>113</v>
      </c>
      <c r="N163" s="2">
        <v>970456.09999999986</v>
      </c>
      <c r="O163" s="2" t="s">
        <v>25</v>
      </c>
      <c r="P163" s="5" t="str">
        <f t="shared" si="10"/>
        <v>2023-12</v>
      </c>
      <c r="Q163">
        <f t="shared" si="11"/>
        <v>-127514.79</v>
      </c>
      <c r="R163">
        <f t="shared" si="12"/>
        <v>0</v>
      </c>
      <c r="S163" t="str">
        <f t="shared" si="13"/>
        <v>Cash-Based</v>
      </c>
      <c r="T163" t="str">
        <f t="shared" si="14"/>
        <v>One-Time User</v>
      </c>
    </row>
    <row r="164" spans="1:20" ht="15.75" customHeight="1" x14ac:dyDescent="0.3">
      <c r="A164" s="2" t="s">
        <v>414</v>
      </c>
      <c r="B164" s="2">
        <v>978283</v>
      </c>
      <c r="C164" s="2" t="s">
        <v>415</v>
      </c>
      <c r="D164" s="2">
        <v>686925039970</v>
      </c>
      <c r="E164" s="2" t="s">
        <v>35</v>
      </c>
      <c r="F164" s="2" t="s">
        <v>36</v>
      </c>
      <c r="G164" s="2" t="s">
        <v>37</v>
      </c>
      <c r="H164" s="2" t="s">
        <v>31</v>
      </c>
      <c r="I164" s="2" t="s">
        <v>48</v>
      </c>
      <c r="J164" s="2">
        <v>46440.959999999999</v>
      </c>
      <c r="K164" s="2" t="s">
        <v>49</v>
      </c>
      <c r="L164" s="3">
        <v>45472</v>
      </c>
      <c r="M164" s="2" t="s">
        <v>24</v>
      </c>
      <c r="N164" s="2">
        <v>1302694.5</v>
      </c>
      <c r="O164" s="2" t="s">
        <v>25</v>
      </c>
      <c r="P164" s="5" t="str">
        <f t="shared" si="10"/>
        <v>2024-06</v>
      </c>
      <c r="Q164">
        <f t="shared" si="11"/>
        <v>46440.959999999999</v>
      </c>
      <c r="R164">
        <f t="shared" si="12"/>
        <v>0</v>
      </c>
      <c r="S164" t="str">
        <f t="shared" si="13"/>
        <v>Cash-Based</v>
      </c>
      <c r="T164" t="str">
        <f t="shared" si="14"/>
        <v>One-Time User</v>
      </c>
    </row>
    <row r="165" spans="1:20" ht="15.75" customHeight="1" x14ac:dyDescent="0.3">
      <c r="A165" s="2" t="s">
        <v>416</v>
      </c>
      <c r="B165" s="2">
        <v>308373</v>
      </c>
      <c r="C165" s="2" t="s">
        <v>417</v>
      </c>
      <c r="D165" s="2">
        <v>850820030043</v>
      </c>
      <c r="E165" s="2" t="s">
        <v>28</v>
      </c>
      <c r="F165" s="2" t="s">
        <v>29</v>
      </c>
      <c r="G165" s="2" t="s">
        <v>30</v>
      </c>
      <c r="H165" s="2" t="s">
        <v>67</v>
      </c>
      <c r="I165" s="2" t="s">
        <v>22</v>
      </c>
      <c r="J165" s="2">
        <v>81438.09</v>
      </c>
      <c r="K165" s="2" t="s">
        <v>49</v>
      </c>
      <c r="L165" s="3">
        <v>45742</v>
      </c>
      <c r="M165" s="2" t="s">
        <v>24</v>
      </c>
      <c r="N165" s="2">
        <v>303737.78000000003</v>
      </c>
      <c r="O165" s="2" t="s">
        <v>25</v>
      </c>
      <c r="P165" s="5" t="str">
        <f t="shared" si="10"/>
        <v>2025-03</v>
      </c>
      <c r="Q165">
        <f t="shared" si="11"/>
        <v>81438.09</v>
      </c>
      <c r="R165">
        <f t="shared" si="12"/>
        <v>0</v>
      </c>
      <c r="S165" t="str">
        <f t="shared" si="13"/>
        <v>Cash-Based</v>
      </c>
      <c r="T165" t="str">
        <f t="shared" si="14"/>
        <v>One-Time User</v>
      </c>
    </row>
    <row r="166" spans="1:20" ht="15.75" customHeight="1" x14ac:dyDescent="0.3">
      <c r="A166" s="2" t="s">
        <v>418</v>
      </c>
      <c r="B166" s="2">
        <v>382042</v>
      </c>
      <c r="C166" s="2" t="s">
        <v>419</v>
      </c>
      <c r="D166" s="2">
        <v>672793088296</v>
      </c>
      <c r="E166" s="2" t="s">
        <v>28</v>
      </c>
      <c r="F166" s="2" t="s">
        <v>29</v>
      </c>
      <c r="G166" s="2" t="s">
        <v>30</v>
      </c>
      <c r="H166" s="2" t="s">
        <v>21</v>
      </c>
      <c r="I166" s="2" t="s">
        <v>38</v>
      </c>
      <c r="J166" s="2">
        <v>24609.7</v>
      </c>
      <c r="K166" s="2" t="s">
        <v>39</v>
      </c>
      <c r="L166" s="3">
        <v>45525</v>
      </c>
      <c r="M166" s="2" t="s">
        <v>24</v>
      </c>
      <c r="N166" s="2">
        <v>464560.08</v>
      </c>
      <c r="O166" s="2" t="s">
        <v>25</v>
      </c>
      <c r="P166" s="5" t="str">
        <f t="shared" si="10"/>
        <v>2024-08</v>
      </c>
      <c r="Q166">
        <f t="shared" si="11"/>
        <v>-24609.7</v>
      </c>
      <c r="R166">
        <f t="shared" si="12"/>
        <v>0</v>
      </c>
      <c r="S166" t="str">
        <f t="shared" si="13"/>
        <v>Cash-Based</v>
      </c>
      <c r="T166" t="str">
        <f t="shared" si="14"/>
        <v>One-Time User</v>
      </c>
    </row>
    <row r="167" spans="1:20" ht="15.75" customHeight="1" x14ac:dyDescent="0.3">
      <c r="A167" s="2" t="s">
        <v>420</v>
      </c>
      <c r="B167" s="2">
        <v>841087</v>
      </c>
      <c r="C167" s="2" t="s">
        <v>421</v>
      </c>
      <c r="D167" s="2">
        <v>340321947570</v>
      </c>
      <c r="E167" s="2" t="s">
        <v>64</v>
      </c>
      <c r="F167" s="2" t="s">
        <v>146</v>
      </c>
      <c r="G167" s="2" t="s">
        <v>147</v>
      </c>
      <c r="H167" s="2" t="s">
        <v>67</v>
      </c>
      <c r="I167" s="2" t="s">
        <v>38</v>
      </c>
      <c r="J167" s="2">
        <v>80691.649999999994</v>
      </c>
      <c r="K167" s="2" t="s">
        <v>32</v>
      </c>
      <c r="L167" s="3">
        <v>45621</v>
      </c>
      <c r="M167" s="2" t="s">
        <v>24</v>
      </c>
      <c r="N167" s="2">
        <v>1504466.62</v>
      </c>
      <c r="O167" s="2" t="s">
        <v>25</v>
      </c>
      <c r="P167" s="5" t="str">
        <f t="shared" si="10"/>
        <v>2024-11</v>
      </c>
      <c r="Q167">
        <f t="shared" si="11"/>
        <v>-80691.649999999994</v>
      </c>
      <c r="R167">
        <f t="shared" si="12"/>
        <v>0</v>
      </c>
      <c r="S167" t="str">
        <f t="shared" si="13"/>
        <v>Cash-Based</v>
      </c>
      <c r="T167" t="str">
        <f t="shared" si="14"/>
        <v>One-Time User</v>
      </c>
    </row>
    <row r="168" spans="1:20" ht="15.75" customHeight="1" x14ac:dyDescent="0.3">
      <c r="A168" s="2" t="s">
        <v>422</v>
      </c>
      <c r="B168" s="2">
        <v>453621</v>
      </c>
      <c r="C168" s="2" t="s">
        <v>423</v>
      </c>
      <c r="D168" s="2">
        <v>572275455942</v>
      </c>
      <c r="E168" s="2" t="s">
        <v>18</v>
      </c>
      <c r="F168" s="2" t="s">
        <v>46</v>
      </c>
      <c r="G168" s="2" t="s">
        <v>47</v>
      </c>
      <c r="H168" s="2" t="s">
        <v>70</v>
      </c>
      <c r="I168" s="2" t="s">
        <v>38</v>
      </c>
      <c r="J168" s="2">
        <v>86333.22</v>
      </c>
      <c r="K168" s="2" t="s">
        <v>49</v>
      </c>
      <c r="L168" s="3">
        <v>45833</v>
      </c>
      <c r="M168" s="2" t="s">
        <v>24</v>
      </c>
      <c r="N168" s="2">
        <v>173826.27</v>
      </c>
      <c r="O168" s="2" t="s">
        <v>25</v>
      </c>
      <c r="P168" s="5" t="str">
        <f t="shared" si="10"/>
        <v>2025-06</v>
      </c>
      <c r="Q168">
        <f t="shared" si="11"/>
        <v>-86333.22</v>
      </c>
      <c r="R168">
        <f t="shared" si="12"/>
        <v>0</v>
      </c>
      <c r="S168" t="str">
        <f t="shared" si="13"/>
        <v>Cash-Based</v>
      </c>
      <c r="T168" t="str">
        <f t="shared" si="14"/>
        <v>One-Time User</v>
      </c>
    </row>
    <row r="169" spans="1:20" ht="15.75" customHeight="1" x14ac:dyDescent="0.3">
      <c r="A169" s="2" t="s">
        <v>424</v>
      </c>
      <c r="B169" s="2">
        <v>194555</v>
      </c>
      <c r="C169" s="2" t="s">
        <v>425</v>
      </c>
      <c r="D169" s="2">
        <v>623222273192</v>
      </c>
      <c r="E169" s="2" t="s">
        <v>18</v>
      </c>
      <c r="F169" s="2" t="s">
        <v>19</v>
      </c>
      <c r="G169" s="2" t="s">
        <v>20</v>
      </c>
      <c r="H169" s="2" t="s">
        <v>70</v>
      </c>
      <c r="I169" s="2" t="s">
        <v>48</v>
      </c>
      <c r="J169" s="2">
        <v>121786.38</v>
      </c>
      <c r="K169" s="2" t="s">
        <v>98</v>
      </c>
      <c r="L169" s="3">
        <v>45423</v>
      </c>
      <c r="M169" s="2" t="s">
        <v>50</v>
      </c>
      <c r="N169" s="2">
        <v>1986716.88</v>
      </c>
      <c r="O169" s="2" t="s">
        <v>25</v>
      </c>
      <c r="P169" s="5" t="str">
        <f t="shared" si="10"/>
        <v>2024-05</v>
      </c>
      <c r="Q169">
        <f t="shared" si="11"/>
        <v>121786.38</v>
      </c>
      <c r="R169">
        <f t="shared" si="12"/>
        <v>0</v>
      </c>
      <c r="S169" t="str">
        <f t="shared" si="13"/>
        <v>Cash-Based</v>
      </c>
      <c r="T169" t="str">
        <f t="shared" si="14"/>
        <v>One-Time User</v>
      </c>
    </row>
    <row r="170" spans="1:20" ht="15.75" customHeight="1" x14ac:dyDescent="0.3">
      <c r="A170" s="2" t="s">
        <v>426</v>
      </c>
      <c r="B170" s="2">
        <v>770075</v>
      </c>
      <c r="C170" s="2" t="s">
        <v>427</v>
      </c>
      <c r="D170" s="2">
        <v>292949525017</v>
      </c>
      <c r="E170" s="2" t="s">
        <v>18</v>
      </c>
      <c r="F170" s="2" t="s">
        <v>19</v>
      </c>
      <c r="G170" s="2" t="s">
        <v>20</v>
      </c>
      <c r="H170" s="2" t="s">
        <v>21</v>
      </c>
      <c r="I170" s="2" t="s">
        <v>48</v>
      </c>
      <c r="J170" s="2">
        <v>130110.38</v>
      </c>
      <c r="K170" s="2" t="s">
        <v>49</v>
      </c>
      <c r="L170" s="3">
        <v>45565</v>
      </c>
      <c r="M170" s="2" t="s">
        <v>24</v>
      </c>
      <c r="N170" s="2">
        <v>1443432.25</v>
      </c>
      <c r="O170" s="2" t="s">
        <v>25</v>
      </c>
      <c r="P170" s="5" t="str">
        <f t="shared" si="10"/>
        <v>2024-09</v>
      </c>
      <c r="Q170">
        <f t="shared" si="11"/>
        <v>130110.38</v>
      </c>
      <c r="R170">
        <f t="shared" si="12"/>
        <v>0</v>
      </c>
      <c r="S170" t="str">
        <f t="shared" si="13"/>
        <v>Cash-Based</v>
      </c>
      <c r="T170" t="str">
        <f t="shared" si="14"/>
        <v>One-Time User</v>
      </c>
    </row>
    <row r="171" spans="1:20" ht="15.75" customHeight="1" x14ac:dyDescent="0.3">
      <c r="A171" s="2" t="s">
        <v>428</v>
      </c>
      <c r="B171" s="2">
        <v>829378</v>
      </c>
      <c r="C171" s="2" t="s">
        <v>429</v>
      </c>
      <c r="D171" s="2">
        <v>903370949456</v>
      </c>
      <c r="E171" s="2" t="s">
        <v>91</v>
      </c>
      <c r="F171" s="2" t="s">
        <v>109</v>
      </c>
      <c r="G171" s="2" t="s">
        <v>110</v>
      </c>
      <c r="H171" s="2" t="s">
        <v>21</v>
      </c>
      <c r="I171" s="2" t="s">
        <v>22</v>
      </c>
      <c r="J171" s="2">
        <v>585632.02</v>
      </c>
      <c r="K171" s="2" t="s">
        <v>49</v>
      </c>
      <c r="L171" s="3">
        <v>45303</v>
      </c>
      <c r="M171" s="2" t="s">
        <v>24</v>
      </c>
      <c r="N171" s="2">
        <v>1709477.05</v>
      </c>
      <c r="O171" s="2" t="s">
        <v>25</v>
      </c>
      <c r="P171" s="5" t="str">
        <f t="shared" si="10"/>
        <v>2024-01</v>
      </c>
      <c r="Q171">
        <f t="shared" si="11"/>
        <v>585632.02</v>
      </c>
      <c r="R171">
        <f t="shared" si="12"/>
        <v>0</v>
      </c>
      <c r="S171" t="str">
        <f t="shared" si="13"/>
        <v>Cash-Based</v>
      </c>
      <c r="T171" t="str">
        <f t="shared" si="14"/>
        <v>One-Time User</v>
      </c>
    </row>
    <row r="172" spans="1:20" ht="15.75" customHeight="1" x14ac:dyDescent="0.3">
      <c r="A172" s="2" t="s">
        <v>430</v>
      </c>
      <c r="B172" s="2">
        <v>987879</v>
      </c>
      <c r="C172" s="2" t="s">
        <v>431</v>
      </c>
      <c r="D172" s="2">
        <v>260587250312</v>
      </c>
      <c r="E172" s="2" t="s">
        <v>35</v>
      </c>
      <c r="F172" s="2" t="s">
        <v>36</v>
      </c>
      <c r="G172" s="2" t="s">
        <v>37</v>
      </c>
      <c r="H172" s="2" t="s">
        <v>70</v>
      </c>
      <c r="I172" s="2" t="s">
        <v>38</v>
      </c>
      <c r="J172" s="2">
        <v>13739.75</v>
      </c>
      <c r="K172" s="2" t="s">
        <v>39</v>
      </c>
      <c r="L172" s="3">
        <v>45818</v>
      </c>
      <c r="M172" s="2" t="s">
        <v>24</v>
      </c>
      <c r="N172" s="2">
        <v>1443259.36</v>
      </c>
      <c r="O172" s="2" t="s">
        <v>25</v>
      </c>
      <c r="P172" s="5" t="str">
        <f t="shared" si="10"/>
        <v>2025-06</v>
      </c>
      <c r="Q172">
        <f t="shared" si="11"/>
        <v>-13739.75</v>
      </c>
      <c r="R172">
        <f t="shared" si="12"/>
        <v>0</v>
      </c>
      <c r="S172" t="str">
        <f t="shared" si="13"/>
        <v>Cash-Based</v>
      </c>
      <c r="T172" t="str">
        <f t="shared" si="14"/>
        <v>One-Time User</v>
      </c>
    </row>
    <row r="173" spans="1:20" ht="15.75" customHeight="1" x14ac:dyDescent="0.3">
      <c r="A173" s="2" t="s">
        <v>432</v>
      </c>
      <c r="B173" s="2">
        <v>232569</v>
      </c>
      <c r="C173" s="2" t="s">
        <v>433</v>
      </c>
      <c r="D173" s="2">
        <v>977364169001</v>
      </c>
      <c r="E173" s="2" t="s">
        <v>18</v>
      </c>
      <c r="F173" s="2" t="s">
        <v>19</v>
      </c>
      <c r="G173" s="2" t="s">
        <v>20</v>
      </c>
      <c r="H173" s="2" t="s">
        <v>21</v>
      </c>
      <c r="I173" s="2" t="s">
        <v>53</v>
      </c>
      <c r="J173" s="2">
        <v>217678.95</v>
      </c>
      <c r="K173" s="2" t="s">
        <v>49</v>
      </c>
      <c r="L173" s="3">
        <v>45278</v>
      </c>
      <c r="M173" s="2" t="s">
        <v>24</v>
      </c>
      <c r="N173" s="2">
        <v>1325870.71</v>
      </c>
      <c r="O173" s="2" t="s">
        <v>25</v>
      </c>
      <c r="P173" s="5" t="str">
        <f t="shared" si="10"/>
        <v>2023-12</v>
      </c>
      <c r="Q173">
        <f t="shared" si="11"/>
        <v>217678.95</v>
      </c>
      <c r="R173">
        <f t="shared" si="12"/>
        <v>0</v>
      </c>
      <c r="S173" t="str">
        <f t="shared" si="13"/>
        <v>Cash-Based</v>
      </c>
      <c r="T173" t="str">
        <f t="shared" si="14"/>
        <v>One-Time User</v>
      </c>
    </row>
    <row r="174" spans="1:20" ht="15.75" customHeight="1" x14ac:dyDescent="0.3">
      <c r="A174" s="2" t="s">
        <v>434</v>
      </c>
      <c r="B174" s="2">
        <v>287130</v>
      </c>
      <c r="C174" s="2" t="s">
        <v>435</v>
      </c>
      <c r="D174" s="2">
        <v>390913928721</v>
      </c>
      <c r="E174" s="2" t="s">
        <v>18</v>
      </c>
      <c r="F174" s="2" t="s">
        <v>87</v>
      </c>
      <c r="G174" s="2" t="s">
        <v>88</v>
      </c>
      <c r="H174" s="2" t="s">
        <v>31</v>
      </c>
      <c r="I174" s="2" t="s">
        <v>48</v>
      </c>
      <c r="J174" s="2">
        <v>241267.85</v>
      </c>
      <c r="K174" s="2" t="s">
        <v>39</v>
      </c>
      <c r="L174" s="3">
        <v>45302</v>
      </c>
      <c r="M174" s="2" t="s">
        <v>24</v>
      </c>
      <c r="N174" s="2">
        <v>614510.72</v>
      </c>
      <c r="O174" s="2" t="s">
        <v>25</v>
      </c>
      <c r="P174" s="5" t="str">
        <f t="shared" si="10"/>
        <v>2024-01</v>
      </c>
      <c r="Q174">
        <f t="shared" si="11"/>
        <v>241267.85</v>
      </c>
      <c r="R174">
        <f t="shared" si="12"/>
        <v>0</v>
      </c>
      <c r="S174" t="str">
        <f t="shared" si="13"/>
        <v>Cash-Based</v>
      </c>
      <c r="T174" t="str">
        <f t="shared" si="14"/>
        <v>One-Time User</v>
      </c>
    </row>
    <row r="175" spans="1:20" ht="15.75" customHeight="1" x14ac:dyDescent="0.3">
      <c r="A175" s="2" t="s">
        <v>436</v>
      </c>
      <c r="B175" s="2">
        <v>273869</v>
      </c>
      <c r="C175" s="2" t="s">
        <v>437</v>
      </c>
      <c r="D175" s="2">
        <v>722703997525</v>
      </c>
      <c r="E175" s="2" t="s">
        <v>91</v>
      </c>
      <c r="F175" s="2" t="s">
        <v>92</v>
      </c>
      <c r="G175" s="2" t="s">
        <v>93</v>
      </c>
      <c r="H175" s="2" t="s">
        <v>67</v>
      </c>
      <c r="I175" s="2" t="s">
        <v>48</v>
      </c>
      <c r="J175" s="2">
        <v>282229.52</v>
      </c>
      <c r="K175" s="2" t="s">
        <v>49</v>
      </c>
      <c r="L175" s="3">
        <v>45634</v>
      </c>
      <c r="M175" s="2" t="s">
        <v>24</v>
      </c>
      <c r="N175" s="2">
        <v>2278673.0299999998</v>
      </c>
      <c r="O175" s="2" t="s">
        <v>25</v>
      </c>
      <c r="P175" s="5" t="str">
        <f t="shared" si="10"/>
        <v>2024-12</v>
      </c>
      <c r="Q175">
        <f t="shared" si="11"/>
        <v>282229.52</v>
      </c>
      <c r="R175">
        <f t="shared" si="12"/>
        <v>0</v>
      </c>
      <c r="S175" t="str">
        <f t="shared" si="13"/>
        <v>Cash-Based</v>
      </c>
      <c r="T175" t="str">
        <f t="shared" si="14"/>
        <v>One-Time User</v>
      </c>
    </row>
    <row r="176" spans="1:20" ht="15.75" customHeight="1" x14ac:dyDescent="0.3">
      <c r="A176" s="2" t="s">
        <v>438</v>
      </c>
      <c r="B176" s="2">
        <v>533366</v>
      </c>
      <c r="C176" s="2" t="s">
        <v>439</v>
      </c>
      <c r="D176" s="2">
        <v>792282281783</v>
      </c>
      <c r="E176" s="2" t="s">
        <v>91</v>
      </c>
      <c r="F176" s="2" t="s">
        <v>92</v>
      </c>
      <c r="G176" s="2" t="s">
        <v>93</v>
      </c>
      <c r="H176" s="2" t="s">
        <v>67</v>
      </c>
      <c r="I176" s="2" t="s">
        <v>53</v>
      </c>
      <c r="J176" s="2">
        <v>45405.21</v>
      </c>
      <c r="K176" s="2" t="s">
        <v>39</v>
      </c>
      <c r="L176" s="3">
        <v>45811</v>
      </c>
      <c r="M176" s="2" t="s">
        <v>24</v>
      </c>
      <c r="N176" s="2">
        <v>580928.07999999996</v>
      </c>
      <c r="O176" s="2" t="s">
        <v>25</v>
      </c>
      <c r="P176" s="5" t="str">
        <f t="shared" si="10"/>
        <v>2025-06</v>
      </c>
      <c r="Q176">
        <f t="shared" si="11"/>
        <v>45405.21</v>
      </c>
      <c r="R176">
        <f t="shared" si="12"/>
        <v>0</v>
      </c>
      <c r="S176" t="str">
        <f t="shared" si="13"/>
        <v>Cash-Based</v>
      </c>
      <c r="T176" t="str">
        <f t="shared" si="14"/>
        <v>One-Time User</v>
      </c>
    </row>
    <row r="177" spans="1:20" ht="15.75" customHeight="1" x14ac:dyDescent="0.3">
      <c r="A177" s="2" t="s">
        <v>440</v>
      </c>
      <c r="B177" s="2">
        <v>392320</v>
      </c>
      <c r="C177" s="2" t="s">
        <v>441</v>
      </c>
      <c r="D177" s="2">
        <v>738265413805</v>
      </c>
      <c r="E177" s="2" t="s">
        <v>64</v>
      </c>
      <c r="F177" s="2" t="s">
        <v>83</v>
      </c>
      <c r="G177" s="2" t="s">
        <v>84</v>
      </c>
      <c r="H177" s="2" t="s">
        <v>31</v>
      </c>
      <c r="I177" s="2" t="s">
        <v>22</v>
      </c>
      <c r="J177" s="2">
        <v>212526.68</v>
      </c>
      <c r="K177" s="2" t="s">
        <v>23</v>
      </c>
      <c r="L177" s="3">
        <v>45682</v>
      </c>
      <c r="M177" s="2" t="s">
        <v>24</v>
      </c>
      <c r="N177" s="2">
        <v>602494.71</v>
      </c>
      <c r="O177" s="2" t="s">
        <v>25</v>
      </c>
      <c r="P177" s="5" t="str">
        <f t="shared" si="10"/>
        <v>2025-01</v>
      </c>
      <c r="Q177">
        <f t="shared" si="11"/>
        <v>212526.68</v>
      </c>
      <c r="R177">
        <f t="shared" si="12"/>
        <v>0</v>
      </c>
      <c r="S177" t="str">
        <f t="shared" si="13"/>
        <v>Digital</v>
      </c>
      <c r="T177" t="str">
        <f t="shared" si="14"/>
        <v>One-Time User</v>
      </c>
    </row>
    <row r="178" spans="1:20" ht="15.75" customHeight="1" x14ac:dyDescent="0.3">
      <c r="A178" s="2" t="s">
        <v>442</v>
      </c>
      <c r="B178" s="2">
        <v>489951</v>
      </c>
      <c r="C178" s="2" t="s">
        <v>443</v>
      </c>
      <c r="D178" s="2">
        <v>660462416947</v>
      </c>
      <c r="E178" s="2" t="s">
        <v>35</v>
      </c>
      <c r="F178" s="2" t="s">
        <v>136</v>
      </c>
      <c r="G178" s="2" t="s">
        <v>137</v>
      </c>
      <c r="H178" s="2" t="s">
        <v>67</v>
      </c>
      <c r="I178" s="2" t="s">
        <v>53</v>
      </c>
      <c r="J178" s="2">
        <v>338467.95</v>
      </c>
      <c r="K178" s="2" t="s">
        <v>98</v>
      </c>
      <c r="L178" s="3">
        <v>45665</v>
      </c>
      <c r="M178" s="2" t="s">
        <v>24</v>
      </c>
      <c r="N178" s="2">
        <v>847748.51</v>
      </c>
      <c r="O178" s="2" t="s">
        <v>25</v>
      </c>
      <c r="P178" s="5" t="str">
        <f t="shared" si="10"/>
        <v>2025-01</v>
      </c>
      <c r="Q178">
        <f t="shared" si="11"/>
        <v>338467.95</v>
      </c>
      <c r="R178">
        <f t="shared" si="12"/>
        <v>0</v>
      </c>
      <c r="S178" t="str">
        <f t="shared" si="13"/>
        <v>Cash-Based</v>
      </c>
      <c r="T178" t="str">
        <f t="shared" si="14"/>
        <v>One-Time User</v>
      </c>
    </row>
    <row r="179" spans="1:20" ht="15.75" customHeight="1" x14ac:dyDescent="0.3">
      <c r="A179" s="2" t="s">
        <v>444</v>
      </c>
      <c r="B179" s="2">
        <v>182090</v>
      </c>
      <c r="C179" s="2" t="s">
        <v>445</v>
      </c>
      <c r="D179" s="2">
        <v>773349801258</v>
      </c>
      <c r="E179" s="2" t="s">
        <v>91</v>
      </c>
      <c r="F179" s="2" t="s">
        <v>105</v>
      </c>
      <c r="G179" s="2" t="s">
        <v>106</v>
      </c>
      <c r="H179" s="2" t="s">
        <v>67</v>
      </c>
      <c r="I179" s="2" t="s">
        <v>53</v>
      </c>
      <c r="J179" s="2">
        <v>144290.97</v>
      </c>
      <c r="K179" s="2" t="s">
        <v>39</v>
      </c>
      <c r="L179" s="3">
        <v>45344</v>
      </c>
      <c r="M179" s="2" t="s">
        <v>24</v>
      </c>
      <c r="N179" s="2">
        <v>1516905.19</v>
      </c>
      <c r="O179" s="2" t="s">
        <v>25</v>
      </c>
      <c r="P179" s="5" t="str">
        <f t="shared" si="10"/>
        <v>2024-02</v>
      </c>
      <c r="Q179">
        <f t="shared" si="11"/>
        <v>144290.97</v>
      </c>
      <c r="R179">
        <f t="shared" si="12"/>
        <v>0</v>
      </c>
      <c r="S179" t="str">
        <f t="shared" si="13"/>
        <v>Cash-Based</v>
      </c>
      <c r="T179" t="str">
        <f t="shared" si="14"/>
        <v>One-Time User</v>
      </c>
    </row>
    <row r="180" spans="1:20" ht="15.75" customHeight="1" x14ac:dyDescent="0.3">
      <c r="A180" s="2" t="s">
        <v>446</v>
      </c>
      <c r="B180" s="2">
        <v>861891</v>
      </c>
      <c r="C180" s="2" t="s">
        <v>447</v>
      </c>
      <c r="D180" s="2">
        <v>758276699400</v>
      </c>
      <c r="E180" s="2" t="s">
        <v>64</v>
      </c>
      <c r="F180" s="2" t="s">
        <v>83</v>
      </c>
      <c r="G180" s="2" t="s">
        <v>84</v>
      </c>
      <c r="H180" s="2" t="s">
        <v>67</v>
      </c>
      <c r="I180" s="2" t="s">
        <v>53</v>
      </c>
      <c r="J180" s="2">
        <v>34188.99</v>
      </c>
      <c r="K180" s="2" t="s">
        <v>98</v>
      </c>
      <c r="L180" s="3">
        <v>45333</v>
      </c>
      <c r="M180" s="2" t="s">
        <v>24</v>
      </c>
      <c r="N180" s="2">
        <v>320795.43</v>
      </c>
      <c r="O180" s="2" t="s">
        <v>25</v>
      </c>
      <c r="P180" s="5" t="str">
        <f t="shared" si="10"/>
        <v>2024-02</v>
      </c>
      <c r="Q180">
        <f t="shared" si="11"/>
        <v>34188.99</v>
      </c>
      <c r="R180">
        <f t="shared" si="12"/>
        <v>0</v>
      </c>
      <c r="S180" t="str">
        <f t="shared" si="13"/>
        <v>Cash-Based</v>
      </c>
      <c r="T180" t="str">
        <f t="shared" si="14"/>
        <v>One-Time User</v>
      </c>
    </row>
    <row r="181" spans="1:20" ht="15.75" customHeight="1" x14ac:dyDescent="0.3">
      <c r="A181" s="2" t="s">
        <v>448</v>
      </c>
      <c r="B181" s="2">
        <v>915152</v>
      </c>
      <c r="C181" s="2" t="s">
        <v>449</v>
      </c>
      <c r="D181" s="2">
        <v>885153418135</v>
      </c>
      <c r="E181" s="2" t="s">
        <v>64</v>
      </c>
      <c r="F181" s="2" t="s">
        <v>166</v>
      </c>
      <c r="G181" s="2" t="s">
        <v>167</v>
      </c>
      <c r="H181" s="2" t="s">
        <v>70</v>
      </c>
      <c r="I181" s="2" t="s">
        <v>38</v>
      </c>
      <c r="J181" s="2">
        <v>82302.03</v>
      </c>
      <c r="K181" s="2" t="s">
        <v>32</v>
      </c>
      <c r="L181" s="3">
        <v>45573</v>
      </c>
      <c r="M181" s="2" t="s">
        <v>24</v>
      </c>
      <c r="N181" s="2">
        <v>1644815.09</v>
      </c>
      <c r="O181" s="2" t="s">
        <v>25</v>
      </c>
      <c r="P181" s="5" t="str">
        <f t="shared" si="10"/>
        <v>2024-10</v>
      </c>
      <c r="Q181">
        <f t="shared" si="11"/>
        <v>-82302.03</v>
      </c>
      <c r="R181">
        <f t="shared" si="12"/>
        <v>0</v>
      </c>
      <c r="S181" t="str">
        <f t="shared" si="13"/>
        <v>Cash-Based</v>
      </c>
      <c r="T181" t="str">
        <f t="shared" si="14"/>
        <v>One-Time User</v>
      </c>
    </row>
    <row r="182" spans="1:20" ht="15.75" customHeight="1" x14ac:dyDescent="0.3">
      <c r="A182" s="2" t="s">
        <v>450</v>
      </c>
      <c r="B182" s="2">
        <v>955248</v>
      </c>
      <c r="C182" s="2" t="s">
        <v>451</v>
      </c>
      <c r="D182" s="2">
        <v>536354802733</v>
      </c>
      <c r="E182" s="2" t="s">
        <v>35</v>
      </c>
      <c r="F182" s="2" t="s">
        <v>60</v>
      </c>
      <c r="G182" s="2" t="s">
        <v>61</v>
      </c>
      <c r="H182" s="2" t="s">
        <v>70</v>
      </c>
      <c r="I182" s="2" t="s">
        <v>53</v>
      </c>
      <c r="J182" s="2">
        <v>333457.7</v>
      </c>
      <c r="K182" s="2" t="s">
        <v>32</v>
      </c>
      <c r="L182" s="3">
        <v>45666</v>
      </c>
      <c r="M182" s="2" t="s">
        <v>168</v>
      </c>
      <c r="N182" s="2">
        <v>1971539.37</v>
      </c>
      <c r="O182" s="2" t="s">
        <v>25</v>
      </c>
      <c r="P182" s="5" t="str">
        <f t="shared" si="10"/>
        <v>2025-01</v>
      </c>
      <c r="Q182">
        <f t="shared" si="11"/>
        <v>333457.7</v>
      </c>
      <c r="R182">
        <f t="shared" si="12"/>
        <v>0</v>
      </c>
      <c r="S182" t="str">
        <f t="shared" si="13"/>
        <v>Cash-Based</v>
      </c>
      <c r="T182" t="str">
        <f t="shared" si="14"/>
        <v>One-Time User</v>
      </c>
    </row>
    <row r="183" spans="1:20" ht="15.75" customHeight="1" x14ac:dyDescent="0.3">
      <c r="A183" s="2" t="s">
        <v>452</v>
      </c>
      <c r="B183" s="2">
        <v>102739</v>
      </c>
      <c r="C183" s="2" t="s">
        <v>453</v>
      </c>
      <c r="D183" s="2">
        <v>774104911098</v>
      </c>
      <c r="E183" s="2" t="s">
        <v>18</v>
      </c>
      <c r="F183" s="2" t="s">
        <v>156</v>
      </c>
      <c r="G183" s="2" t="s">
        <v>157</v>
      </c>
      <c r="H183" s="2" t="s">
        <v>70</v>
      </c>
      <c r="I183" s="2" t="s">
        <v>38</v>
      </c>
      <c r="J183" s="2">
        <v>129936.35</v>
      </c>
      <c r="K183" s="2" t="s">
        <v>98</v>
      </c>
      <c r="L183" s="3">
        <v>45166</v>
      </c>
      <c r="M183" s="2" t="s">
        <v>24</v>
      </c>
      <c r="N183" s="2">
        <v>110612.71</v>
      </c>
      <c r="O183" s="2" t="s">
        <v>25</v>
      </c>
      <c r="P183" s="5" t="str">
        <f t="shared" si="10"/>
        <v>2023-08</v>
      </c>
      <c r="Q183">
        <f t="shared" si="11"/>
        <v>-129936.35</v>
      </c>
      <c r="R183">
        <f t="shared" si="12"/>
        <v>0</v>
      </c>
      <c r="S183" t="str">
        <f t="shared" si="13"/>
        <v>Cash-Based</v>
      </c>
      <c r="T183" t="str">
        <f t="shared" si="14"/>
        <v>One-Time User</v>
      </c>
    </row>
    <row r="184" spans="1:20" ht="15.75" customHeight="1" x14ac:dyDescent="0.3">
      <c r="A184" s="2" t="s">
        <v>454</v>
      </c>
      <c r="B184" s="2">
        <v>870440</v>
      </c>
      <c r="C184" s="2" t="s">
        <v>455</v>
      </c>
      <c r="D184" s="2">
        <v>599441016363</v>
      </c>
      <c r="E184" s="2" t="s">
        <v>28</v>
      </c>
      <c r="F184" s="2" t="s">
        <v>150</v>
      </c>
      <c r="G184" s="2" t="s">
        <v>151</v>
      </c>
      <c r="H184" s="2" t="s">
        <v>70</v>
      </c>
      <c r="I184" s="2" t="s">
        <v>53</v>
      </c>
      <c r="J184" s="2">
        <v>343331.26</v>
      </c>
      <c r="K184" s="2" t="s">
        <v>32</v>
      </c>
      <c r="L184" s="3">
        <v>45834</v>
      </c>
      <c r="M184" s="2" t="s">
        <v>24</v>
      </c>
      <c r="N184" s="2">
        <v>1665408.93</v>
      </c>
      <c r="O184" s="2" t="s">
        <v>25</v>
      </c>
      <c r="P184" s="5" t="str">
        <f t="shared" si="10"/>
        <v>2025-06</v>
      </c>
      <c r="Q184">
        <f t="shared" si="11"/>
        <v>343331.26</v>
      </c>
      <c r="R184">
        <f t="shared" si="12"/>
        <v>0</v>
      </c>
      <c r="S184" t="str">
        <f t="shared" si="13"/>
        <v>Cash-Based</v>
      </c>
      <c r="T184" t="str">
        <f t="shared" si="14"/>
        <v>One-Time User</v>
      </c>
    </row>
    <row r="185" spans="1:20" ht="15.75" customHeight="1" x14ac:dyDescent="0.3">
      <c r="A185" s="2" t="s">
        <v>456</v>
      </c>
      <c r="B185" s="2">
        <v>568609</v>
      </c>
      <c r="C185" s="2" t="s">
        <v>457</v>
      </c>
      <c r="D185" s="2">
        <v>575512465389</v>
      </c>
      <c r="E185" s="2" t="s">
        <v>35</v>
      </c>
      <c r="F185" s="2" t="s">
        <v>60</v>
      </c>
      <c r="G185" s="2" t="s">
        <v>61</v>
      </c>
      <c r="H185" s="2" t="s">
        <v>21</v>
      </c>
      <c r="I185" s="2" t="s">
        <v>38</v>
      </c>
      <c r="J185" s="2">
        <v>6580.59</v>
      </c>
      <c r="K185" s="2" t="s">
        <v>49</v>
      </c>
      <c r="L185" s="3">
        <v>45806</v>
      </c>
      <c r="M185" s="2" t="s">
        <v>113</v>
      </c>
      <c r="N185" s="2">
        <v>1643987.43</v>
      </c>
      <c r="O185" s="2" t="s">
        <v>25</v>
      </c>
      <c r="P185" s="5" t="str">
        <f t="shared" si="10"/>
        <v>2025-05</v>
      </c>
      <c r="Q185">
        <f t="shared" si="11"/>
        <v>-6580.59</v>
      </c>
      <c r="R185">
        <f t="shared" si="12"/>
        <v>0</v>
      </c>
      <c r="S185" t="str">
        <f t="shared" si="13"/>
        <v>Cash-Based</v>
      </c>
      <c r="T185" t="str">
        <f t="shared" si="14"/>
        <v>One-Time User</v>
      </c>
    </row>
    <row r="186" spans="1:20" ht="15.75" customHeight="1" x14ac:dyDescent="0.3">
      <c r="A186" s="2" t="s">
        <v>458</v>
      </c>
      <c r="B186" s="2">
        <v>365649</v>
      </c>
      <c r="C186" s="2" t="s">
        <v>459</v>
      </c>
      <c r="D186" s="2">
        <v>709341661530</v>
      </c>
      <c r="E186" s="2" t="s">
        <v>64</v>
      </c>
      <c r="F186" s="2" t="s">
        <v>177</v>
      </c>
      <c r="G186" s="2" t="s">
        <v>178</v>
      </c>
      <c r="H186" s="2" t="s">
        <v>21</v>
      </c>
      <c r="I186" s="2" t="s">
        <v>53</v>
      </c>
      <c r="J186" s="2">
        <v>27356.09</v>
      </c>
      <c r="K186" s="2" t="s">
        <v>23</v>
      </c>
      <c r="L186" s="3">
        <v>45509</v>
      </c>
      <c r="M186" s="2" t="s">
        <v>24</v>
      </c>
      <c r="N186" s="2">
        <v>77396.25</v>
      </c>
      <c r="O186" s="2" t="s">
        <v>25</v>
      </c>
      <c r="P186" s="5" t="str">
        <f t="shared" si="10"/>
        <v>2024-08</v>
      </c>
      <c r="Q186">
        <f t="shared" si="11"/>
        <v>27356.09</v>
      </c>
      <c r="R186">
        <f t="shared" si="12"/>
        <v>0</v>
      </c>
      <c r="S186" t="str">
        <f t="shared" si="13"/>
        <v>Digital</v>
      </c>
      <c r="T186" t="str">
        <f t="shared" si="14"/>
        <v>One-Time User</v>
      </c>
    </row>
    <row r="187" spans="1:20" ht="15.75" customHeight="1" x14ac:dyDescent="0.3">
      <c r="A187" s="2" t="s">
        <v>460</v>
      </c>
      <c r="B187" s="2">
        <v>818603</v>
      </c>
      <c r="C187" s="2" t="s">
        <v>461</v>
      </c>
      <c r="D187" s="2">
        <v>782215302028</v>
      </c>
      <c r="E187" s="2" t="s">
        <v>18</v>
      </c>
      <c r="F187" s="2" t="s">
        <v>56</v>
      </c>
      <c r="G187" s="2" t="s">
        <v>57</v>
      </c>
      <c r="H187" s="2" t="s">
        <v>21</v>
      </c>
      <c r="I187" s="2" t="s">
        <v>22</v>
      </c>
      <c r="J187" s="2">
        <v>259278.23</v>
      </c>
      <c r="K187" s="2" t="s">
        <v>39</v>
      </c>
      <c r="L187" s="3">
        <v>45810</v>
      </c>
      <c r="M187" s="2" t="s">
        <v>50</v>
      </c>
      <c r="N187" s="2">
        <v>1616440.48</v>
      </c>
      <c r="O187" s="2" t="s">
        <v>25</v>
      </c>
      <c r="P187" s="5" t="str">
        <f t="shared" si="10"/>
        <v>2025-06</v>
      </c>
      <c r="Q187">
        <f t="shared" si="11"/>
        <v>259278.23</v>
      </c>
      <c r="R187">
        <f t="shared" si="12"/>
        <v>0</v>
      </c>
      <c r="S187" t="str">
        <f t="shared" si="13"/>
        <v>Cash-Based</v>
      </c>
      <c r="T187" t="str">
        <f t="shared" si="14"/>
        <v>One-Time User</v>
      </c>
    </row>
    <row r="188" spans="1:20" ht="15.75" customHeight="1" x14ac:dyDescent="0.3">
      <c r="A188" s="2" t="s">
        <v>462</v>
      </c>
      <c r="B188" s="2">
        <v>764919</v>
      </c>
      <c r="C188" s="2" t="s">
        <v>463</v>
      </c>
      <c r="D188" s="2">
        <v>459712929306</v>
      </c>
      <c r="E188" s="2" t="s">
        <v>64</v>
      </c>
      <c r="F188" s="2" t="s">
        <v>166</v>
      </c>
      <c r="G188" s="2" t="s">
        <v>167</v>
      </c>
      <c r="H188" s="2" t="s">
        <v>70</v>
      </c>
      <c r="I188" s="2" t="s">
        <v>53</v>
      </c>
      <c r="J188" s="2">
        <v>102247.08</v>
      </c>
      <c r="K188" s="2" t="s">
        <v>39</v>
      </c>
      <c r="L188" s="3">
        <v>45286</v>
      </c>
      <c r="M188" s="2" t="s">
        <v>24</v>
      </c>
      <c r="N188" s="2">
        <v>1111261.05</v>
      </c>
      <c r="O188" s="2" t="s">
        <v>25</v>
      </c>
      <c r="P188" s="5" t="str">
        <f t="shared" si="10"/>
        <v>2023-12</v>
      </c>
      <c r="Q188">
        <f t="shared" si="11"/>
        <v>102247.08</v>
      </c>
      <c r="R188">
        <f t="shared" si="12"/>
        <v>0</v>
      </c>
      <c r="S188" t="str">
        <f t="shared" si="13"/>
        <v>Cash-Based</v>
      </c>
      <c r="T188" t="str">
        <f t="shared" si="14"/>
        <v>One-Time User</v>
      </c>
    </row>
    <row r="189" spans="1:20" ht="15.75" customHeight="1" x14ac:dyDescent="0.3">
      <c r="A189" s="2" t="s">
        <v>464</v>
      </c>
      <c r="B189" s="2">
        <v>408340</v>
      </c>
      <c r="C189" s="2" t="s">
        <v>465</v>
      </c>
      <c r="D189" s="2">
        <v>128421661114</v>
      </c>
      <c r="E189" s="2" t="s">
        <v>35</v>
      </c>
      <c r="F189" s="2" t="s">
        <v>60</v>
      </c>
      <c r="G189" s="2" t="s">
        <v>61</v>
      </c>
      <c r="H189" s="2" t="s">
        <v>70</v>
      </c>
      <c r="I189" s="2" t="s">
        <v>38</v>
      </c>
      <c r="J189" s="2">
        <v>94310.27</v>
      </c>
      <c r="K189" s="2" t="s">
        <v>98</v>
      </c>
      <c r="L189" s="3">
        <v>45623</v>
      </c>
      <c r="M189" s="2" t="s">
        <v>24</v>
      </c>
      <c r="N189" s="2">
        <v>144857.48000000001</v>
      </c>
      <c r="O189" s="2" t="s">
        <v>179</v>
      </c>
      <c r="P189" s="5" t="str">
        <f t="shared" si="10"/>
        <v>2024-11</v>
      </c>
      <c r="Q189">
        <f t="shared" si="11"/>
        <v>-94310.27</v>
      </c>
      <c r="R189">
        <f t="shared" si="12"/>
        <v>1</v>
      </c>
      <c r="S189" t="str">
        <f t="shared" si="13"/>
        <v>Cash-Based</v>
      </c>
      <c r="T189" t="str">
        <f t="shared" si="14"/>
        <v>One-Time User</v>
      </c>
    </row>
    <row r="190" spans="1:20" ht="15.75" customHeight="1" x14ac:dyDescent="0.3">
      <c r="A190" s="2" t="s">
        <v>466</v>
      </c>
      <c r="B190" s="2">
        <v>599905</v>
      </c>
      <c r="C190" s="2" t="s">
        <v>467</v>
      </c>
      <c r="D190" s="2">
        <v>532372091101</v>
      </c>
      <c r="E190" s="2" t="s">
        <v>18</v>
      </c>
      <c r="F190" s="2" t="s">
        <v>19</v>
      </c>
      <c r="G190" s="2" t="s">
        <v>20</v>
      </c>
      <c r="H190" s="2" t="s">
        <v>70</v>
      </c>
      <c r="I190" s="2" t="s">
        <v>22</v>
      </c>
      <c r="J190" s="2">
        <v>197642.07</v>
      </c>
      <c r="K190" s="2" t="s">
        <v>23</v>
      </c>
      <c r="L190" s="3">
        <v>45364</v>
      </c>
      <c r="M190" s="2" t="s">
        <v>24</v>
      </c>
      <c r="N190" s="2">
        <v>1385401.9</v>
      </c>
      <c r="O190" s="2" t="s">
        <v>25</v>
      </c>
      <c r="P190" s="5" t="str">
        <f t="shared" si="10"/>
        <v>2024-03</v>
      </c>
      <c r="Q190">
        <f t="shared" si="11"/>
        <v>197642.07</v>
      </c>
      <c r="R190">
        <f t="shared" si="12"/>
        <v>0</v>
      </c>
      <c r="S190" t="str">
        <f t="shared" si="13"/>
        <v>Digital</v>
      </c>
      <c r="T190" t="str">
        <f t="shared" si="14"/>
        <v>One-Time User</v>
      </c>
    </row>
    <row r="191" spans="1:20" ht="15.75" customHeight="1" x14ac:dyDescent="0.3">
      <c r="A191" s="2" t="s">
        <v>468</v>
      </c>
      <c r="B191" s="2">
        <v>185724</v>
      </c>
      <c r="C191" s="2" t="s">
        <v>469</v>
      </c>
      <c r="D191" s="2">
        <v>133109804226</v>
      </c>
      <c r="E191" s="2" t="s">
        <v>91</v>
      </c>
      <c r="F191" s="2" t="s">
        <v>105</v>
      </c>
      <c r="G191" s="2" t="s">
        <v>106</v>
      </c>
      <c r="H191" s="2" t="s">
        <v>21</v>
      </c>
      <c r="I191" s="2" t="s">
        <v>38</v>
      </c>
      <c r="J191" s="2">
        <v>108609.83</v>
      </c>
      <c r="K191" s="2" t="s">
        <v>39</v>
      </c>
      <c r="L191" s="3">
        <v>45438</v>
      </c>
      <c r="M191" s="2" t="s">
        <v>24</v>
      </c>
      <c r="N191" s="2">
        <v>630301.93000000005</v>
      </c>
      <c r="O191" s="2" t="s">
        <v>25</v>
      </c>
      <c r="P191" s="5" t="str">
        <f t="shared" si="10"/>
        <v>2024-05</v>
      </c>
      <c r="Q191">
        <f t="shared" si="11"/>
        <v>-108609.83</v>
      </c>
      <c r="R191">
        <f t="shared" si="12"/>
        <v>0</v>
      </c>
      <c r="S191" t="str">
        <f t="shared" si="13"/>
        <v>Cash-Based</v>
      </c>
      <c r="T191" t="str">
        <f t="shared" si="14"/>
        <v>One-Time User</v>
      </c>
    </row>
    <row r="192" spans="1:20" ht="15.75" customHeight="1" x14ac:dyDescent="0.3">
      <c r="A192" s="2" t="s">
        <v>470</v>
      </c>
      <c r="B192" s="2">
        <v>459857</v>
      </c>
      <c r="C192" s="2" t="s">
        <v>471</v>
      </c>
      <c r="D192" s="2">
        <v>674125296809</v>
      </c>
      <c r="E192" s="2" t="s">
        <v>35</v>
      </c>
      <c r="F192" s="2" t="s">
        <v>36</v>
      </c>
      <c r="G192" s="2" t="s">
        <v>37</v>
      </c>
      <c r="H192" s="2" t="s">
        <v>21</v>
      </c>
      <c r="I192" s="2" t="s">
        <v>53</v>
      </c>
      <c r="J192" s="2">
        <v>178673.93</v>
      </c>
      <c r="K192" s="2" t="s">
        <v>39</v>
      </c>
      <c r="L192" s="3">
        <v>45785</v>
      </c>
      <c r="M192" s="2" t="s">
        <v>24</v>
      </c>
      <c r="N192" s="2">
        <v>562061.77</v>
      </c>
      <c r="O192" s="2" t="s">
        <v>25</v>
      </c>
      <c r="P192" s="5" t="str">
        <f t="shared" si="10"/>
        <v>2025-05</v>
      </c>
      <c r="Q192">
        <f t="shared" si="11"/>
        <v>178673.93</v>
      </c>
      <c r="R192">
        <f t="shared" si="12"/>
        <v>0</v>
      </c>
      <c r="S192" t="str">
        <f t="shared" si="13"/>
        <v>Cash-Based</v>
      </c>
      <c r="T192" t="str">
        <f t="shared" si="14"/>
        <v>One-Time User</v>
      </c>
    </row>
    <row r="193" spans="1:20" ht="15.75" customHeight="1" x14ac:dyDescent="0.3">
      <c r="A193" s="2" t="s">
        <v>472</v>
      </c>
      <c r="B193" s="2">
        <v>927818</v>
      </c>
      <c r="C193" s="2" t="s">
        <v>473</v>
      </c>
      <c r="D193" s="2">
        <v>644707102453</v>
      </c>
      <c r="E193" s="2" t="s">
        <v>28</v>
      </c>
      <c r="F193" s="2" t="s">
        <v>29</v>
      </c>
      <c r="G193" s="2" t="s">
        <v>30</v>
      </c>
      <c r="H193" s="2" t="s">
        <v>70</v>
      </c>
      <c r="I193" s="2" t="s">
        <v>53</v>
      </c>
      <c r="J193" s="2">
        <v>274718.28000000003</v>
      </c>
      <c r="K193" s="2" t="s">
        <v>49</v>
      </c>
      <c r="L193" s="3">
        <v>45549</v>
      </c>
      <c r="M193" s="2" t="s">
        <v>24</v>
      </c>
      <c r="N193" s="2">
        <v>1754440.1</v>
      </c>
      <c r="O193" s="2" t="s">
        <v>25</v>
      </c>
      <c r="P193" s="5" t="str">
        <f t="shared" si="10"/>
        <v>2024-09</v>
      </c>
      <c r="Q193">
        <f t="shared" si="11"/>
        <v>274718.28000000003</v>
      </c>
      <c r="R193">
        <f t="shared" si="12"/>
        <v>0</v>
      </c>
      <c r="S193" t="str">
        <f t="shared" si="13"/>
        <v>Cash-Based</v>
      </c>
      <c r="T193" t="str">
        <f t="shared" si="14"/>
        <v>One-Time User</v>
      </c>
    </row>
    <row r="194" spans="1:20" ht="15.75" customHeight="1" x14ac:dyDescent="0.3">
      <c r="A194" s="2" t="s">
        <v>474</v>
      </c>
      <c r="B194" s="2">
        <v>569704</v>
      </c>
      <c r="C194" s="2" t="s">
        <v>475</v>
      </c>
      <c r="D194" s="2">
        <v>948080124499</v>
      </c>
      <c r="E194" s="2" t="s">
        <v>18</v>
      </c>
      <c r="F194" s="2" t="s">
        <v>19</v>
      </c>
      <c r="G194" s="2" t="s">
        <v>20</v>
      </c>
      <c r="H194" s="2" t="s">
        <v>67</v>
      </c>
      <c r="I194" s="2" t="s">
        <v>22</v>
      </c>
      <c r="J194" s="2">
        <v>570945.16</v>
      </c>
      <c r="K194" s="2" t="s">
        <v>39</v>
      </c>
      <c r="L194" s="3">
        <v>45534</v>
      </c>
      <c r="M194" s="2" t="s">
        <v>24</v>
      </c>
      <c r="N194" s="2">
        <v>2282261.11</v>
      </c>
      <c r="O194" s="2" t="s">
        <v>25</v>
      </c>
      <c r="P194" s="5" t="str">
        <f t="shared" si="10"/>
        <v>2024-08</v>
      </c>
      <c r="Q194">
        <f t="shared" si="11"/>
        <v>570945.16</v>
      </c>
      <c r="R194">
        <f t="shared" si="12"/>
        <v>0</v>
      </c>
      <c r="S194" t="str">
        <f t="shared" si="13"/>
        <v>Cash-Based</v>
      </c>
      <c r="T194" t="str">
        <f t="shared" si="14"/>
        <v>One-Time User</v>
      </c>
    </row>
    <row r="195" spans="1:20" ht="15.75" customHeight="1" x14ac:dyDescent="0.3">
      <c r="A195" s="2" t="s">
        <v>476</v>
      </c>
      <c r="B195" s="2">
        <v>930330</v>
      </c>
      <c r="C195" s="2" t="s">
        <v>477</v>
      </c>
      <c r="D195" s="2">
        <v>171580026376</v>
      </c>
      <c r="E195" s="2" t="s">
        <v>35</v>
      </c>
      <c r="F195" s="2" t="s">
        <v>73</v>
      </c>
      <c r="G195" s="2" t="s">
        <v>74</v>
      </c>
      <c r="H195" s="2" t="s">
        <v>31</v>
      </c>
      <c r="I195" s="2" t="s">
        <v>22</v>
      </c>
      <c r="J195" s="2">
        <v>54099.78</v>
      </c>
      <c r="K195" s="2" t="s">
        <v>49</v>
      </c>
      <c r="L195" s="3">
        <v>45635</v>
      </c>
      <c r="M195" s="2" t="s">
        <v>113</v>
      </c>
      <c r="N195" s="2">
        <v>747054.91</v>
      </c>
      <c r="O195" s="2" t="s">
        <v>25</v>
      </c>
      <c r="P195" s="5" t="str">
        <f t="shared" ref="P195:P258" si="15">TEXT(L195,"yyyy-mm")</f>
        <v>2024-12</v>
      </c>
      <c r="Q195">
        <f t="shared" ref="Q195:Q258" si="16">IF(I195="Withdrawal",-J195,J195)</f>
        <v>54099.78</v>
      </c>
      <c r="R195">
        <f t="shared" ref="R195:R258" si="17">IF(O195="Yes",1,0)</f>
        <v>0</v>
      </c>
      <c r="S195" t="str">
        <f t="shared" ref="S195:S258" si="18">IF(OR(K195="ATM",K195="Mobile App",K195="UPI"),"Digital",IF(K195="Branch","Branch-Driven","Cash-Based"))</f>
        <v>Cash-Based</v>
      </c>
      <c r="T195" t="str">
        <f t="shared" ref="T195:T258" si="19">IF(COUNTIF($C:$C,C195)&gt;1,"Frequent Transactor","One-Time User")</f>
        <v>One-Time User</v>
      </c>
    </row>
    <row r="196" spans="1:20" ht="15.75" customHeight="1" x14ac:dyDescent="0.3">
      <c r="A196" s="2" t="s">
        <v>478</v>
      </c>
      <c r="B196" s="2">
        <v>509505</v>
      </c>
      <c r="C196" s="2" t="s">
        <v>479</v>
      </c>
      <c r="D196" s="2">
        <v>323601796174</v>
      </c>
      <c r="E196" s="2" t="s">
        <v>35</v>
      </c>
      <c r="F196" s="2" t="s">
        <v>36</v>
      </c>
      <c r="G196" s="2" t="s">
        <v>37</v>
      </c>
      <c r="H196" s="2" t="s">
        <v>67</v>
      </c>
      <c r="I196" s="2" t="s">
        <v>53</v>
      </c>
      <c r="J196" s="2">
        <v>347787.5</v>
      </c>
      <c r="K196" s="2" t="s">
        <v>98</v>
      </c>
      <c r="L196" s="3">
        <v>45140</v>
      </c>
      <c r="M196" s="2" t="s">
        <v>24</v>
      </c>
      <c r="N196" s="2">
        <v>1817009.99</v>
      </c>
      <c r="O196" s="2" t="s">
        <v>25</v>
      </c>
      <c r="P196" s="5" t="str">
        <f t="shared" si="15"/>
        <v>2023-08</v>
      </c>
      <c r="Q196">
        <f t="shared" si="16"/>
        <v>347787.5</v>
      </c>
      <c r="R196">
        <f t="shared" si="17"/>
        <v>0</v>
      </c>
      <c r="S196" t="str">
        <f t="shared" si="18"/>
        <v>Cash-Based</v>
      </c>
      <c r="T196" t="str">
        <f t="shared" si="19"/>
        <v>One-Time User</v>
      </c>
    </row>
    <row r="197" spans="1:20" ht="15.75" customHeight="1" x14ac:dyDescent="0.3">
      <c r="A197" s="2" t="s">
        <v>480</v>
      </c>
      <c r="B197" s="2">
        <v>384060</v>
      </c>
      <c r="C197" s="2" t="s">
        <v>481</v>
      </c>
      <c r="D197" s="2">
        <v>174074350282</v>
      </c>
      <c r="E197" s="2" t="s">
        <v>28</v>
      </c>
      <c r="F197" s="2" t="s">
        <v>79</v>
      </c>
      <c r="G197" s="2" t="s">
        <v>80</v>
      </c>
      <c r="H197" s="2" t="s">
        <v>70</v>
      </c>
      <c r="I197" s="2" t="s">
        <v>53</v>
      </c>
      <c r="J197" s="2">
        <v>158285.28</v>
      </c>
      <c r="K197" s="2" t="s">
        <v>98</v>
      </c>
      <c r="L197" s="3">
        <v>45564</v>
      </c>
      <c r="M197" s="2" t="s">
        <v>24</v>
      </c>
      <c r="N197" s="2">
        <v>367563.6</v>
      </c>
      <c r="O197" s="2" t="s">
        <v>25</v>
      </c>
      <c r="P197" s="5" t="str">
        <f t="shared" si="15"/>
        <v>2024-09</v>
      </c>
      <c r="Q197">
        <f t="shared" si="16"/>
        <v>158285.28</v>
      </c>
      <c r="R197">
        <f t="shared" si="17"/>
        <v>0</v>
      </c>
      <c r="S197" t="str">
        <f t="shared" si="18"/>
        <v>Cash-Based</v>
      </c>
      <c r="T197" t="str">
        <f t="shared" si="19"/>
        <v>One-Time User</v>
      </c>
    </row>
    <row r="198" spans="1:20" ht="15.75" customHeight="1" x14ac:dyDescent="0.3">
      <c r="A198" s="2" t="s">
        <v>482</v>
      </c>
      <c r="B198" s="2">
        <v>196463</v>
      </c>
      <c r="C198" s="2" t="s">
        <v>483</v>
      </c>
      <c r="D198" s="2">
        <v>446324586564</v>
      </c>
      <c r="E198" s="2" t="s">
        <v>28</v>
      </c>
      <c r="F198" s="2" t="s">
        <v>216</v>
      </c>
      <c r="G198" s="2" t="s">
        <v>217</v>
      </c>
      <c r="H198" s="2" t="s">
        <v>70</v>
      </c>
      <c r="I198" s="2" t="s">
        <v>48</v>
      </c>
      <c r="J198" s="2">
        <v>232081.79</v>
      </c>
      <c r="K198" s="2" t="s">
        <v>23</v>
      </c>
      <c r="L198" s="3">
        <v>45619</v>
      </c>
      <c r="M198" s="2" t="s">
        <v>24</v>
      </c>
      <c r="N198" s="2">
        <v>1764401.86</v>
      </c>
      <c r="O198" s="2" t="s">
        <v>25</v>
      </c>
      <c r="P198" s="5" t="str">
        <f t="shared" si="15"/>
        <v>2024-11</v>
      </c>
      <c r="Q198">
        <f t="shared" si="16"/>
        <v>232081.79</v>
      </c>
      <c r="R198">
        <f t="shared" si="17"/>
        <v>0</v>
      </c>
      <c r="S198" t="str">
        <f t="shared" si="18"/>
        <v>Digital</v>
      </c>
      <c r="T198" t="str">
        <f t="shared" si="19"/>
        <v>One-Time User</v>
      </c>
    </row>
    <row r="199" spans="1:20" ht="15.75" customHeight="1" x14ac:dyDescent="0.3">
      <c r="A199" s="2" t="s">
        <v>484</v>
      </c>
      <c r="B199" s="2">
        <v>869806</v>
      </c>
      <c r="C199" s="2" t="s">
        <v>485</v>
      </c>
      <c r="D199" s="2">
        <v>993033314029</v>
      </c>
      <c r="E199" s="2" t="s">
        <v>64</v>
      </c>
      <c r="F199" s="2" t="s">
        <v>166</v>
      </c>
      <c r="G199" s="2" t="s">
        <v>167</v>
      </c>
      <c r="H199" s="2" t="s">
        <v>31</v>
      </c>
      <c r="I199" s="2" t="s">
        <v>48</v>
      </c>
      <c r="J199" s="2">
        <v>224004.06</v>
      </c>
      <c r="K199" s="2" t="s">
        <v>39</v>
      </c>
      <c r="L199" s="3">
        <v>45369</v>
      </c>
      <c r="M199" s="2" t="s">
        <v>24</v>
      </c>
      <c r="N199" s="2">
        <v>1785565.49</v>
      </c>
      <c r="O199" s="2" t="s">
        <v>25</v>
      </c>
      <c r="P199" s="5" t="str">
        <f t="shared" si="15"/>
        <v>2024-03</v>
      </c>
      <c r="Q199">
        <f t="shared" si="16"/>
        <v>224004.06</v>
      </c>
      <c r="R199">
        <f t="shared" si="17"/>
        <v>0</v>
      </c>
      <c r="S199" t="str">
        <f t="shared" si="18"/>
        <v>Cash-Based</v>
      </c>
      <c r="T199" t="str">
        <f t="shared" si="19"/>
        <v>One-Time User</v>
      </c>
    </row>
    <row r="200" spans="1:20" ht="15.75" customHeight="1" x14ac:dyDescent="0.3">
      <c r="A200" s="2" t="s">
        <v>486</v>
      </c>
      <c r="B200" s="2">
        <v>916524</v>
      </c>
      <c r="C200" s="2" t="s">
        <v>487</v>
      </c>
      <c r="D200" s="2">
        <v>294611826165</v>
      </c>
      <c r="E200" s="2" t="s">
        <v>18</v>
      </c>
      <c r="F200" s="2" t="s">
        <v>56</v>
      </c>
      <c r="G200" s="2" t="s">
        <v>57</v>
      </c>
      <c r="H200" s="2" t="s">
        <v>70</v>
      </c>
      <c r="I200" s="2" t="s">
        <v>38</v>
      </c>
      <c r="J200" s="2">
        <v>104110.42</v>
      </c>
      <c r="K200" s="2" t="s">
        <v>49</v>
      </c>
      <c r="L200" s="3">
        <v>45618</v>
      </c>
      <c r="M200" s="2" t="s">
        <v>24</v>
      </c>
      <c r="N200" s="2">
        <v>33534.019999999997</v>
      </c>
      <c r="O200" s="2" t="s">
        <v>25</v>
      </c>
      <c r="P200" s="5" t="str">
        <f t="shared" si="15"/>
        <v>2024-11</v>
      </c>
      <c r="Q200">
        <f t="shared" si="16"/>
        <v>-104110.42</v>
      </c>
      <c r="R200">
        <f t="shared" si="17"/>
        <v>0</v>
      </c>
      <c r="S200" t="str">
        <f t="shared" si="18"/>
        <v>Cash-Based</v>
      </c>
      <c r="T200" t="str">
        <f t="shared" si="19"/>
        <v>One-Time User</v>
      </c>
    </row>
    <row r="201" spans="1:20" ht="15.75" customHeight="1" x14ac:dyDescent="0.3">
      <c r="A201" s="2" t="s">
        <v>488</v>
      </c>
      <c r="B201" s="2">
        <v>713748</v>
      </c>
      <c r="C201" s="2" t="s">
        <v>489</v>
      </c>
      <c r="D201" s="2">
        <v>104745824924</v>
      </c>
      <c r="E201" s="2" t="s">
        <v>35</v>
      </c>
      <c r="F201" s="2" t="s">
        <v>136</v>
      </c>
      <c r="G201" s="2" t="s">
        <v>137</v>
      </c>
      <c r="H201" s="2" t="s">
        <v>70</v>
      </c>
      <c r="I201" s="2" t="s">
        <v>53</v>
      </c>
      <c r="J201" s="2">
        <v>180619.41</v>
      </c>
      <c r="K201" s="2" t="s">
        <v>23</v>
      </c>
      <c r="L201" s="3">
        <v>45638</v>
      </c>
      <c r="M201" s="2" t="s">
        <v>168</v>
      </c>
      <c r="N201" s="2">
        <v>1138412.6299999999</v>
      </c>
      <c r="O201" s="2" t="s">
        <v>25</v>
      </c>
      <c r="P201" s="5" t="str">
        <f t="shared" si="15"/>
        <v>2024-12</v>
      </c>
      <c r="Q201">
        <f t="shared" si="16"/>
        <v>180619.41</v>
      </c>
      <c r="R201">
        <f t="shared" si="17"/>
        <v>0</v>
      </c>
      <c r="S201" t="str">
        <f t="shared" si="18"/>
        <v>Digital</v>
      </c>
      <c r="T201" t="str">
        <f t="shared" si="19"/>
        <v>One-Time User</v>
      </c>
    </row>
    <row r="202" spans="1:20" ht="15.75" customHeight="1" x14ac:dyDescent="0.3">
      <c r="A202" s="2" t="s">
        <v>490</v>
      </c>
      <c r="B202" s="2">
        <v>147276</v>
      </c>
      <c r="C202" s="2" t="s">
        <v>491</v>
      </c>
      <c r="D202" s="2">
        <v>298367664209</v>
      </c>
      <c r="E202" s="2" t="s">
        <v>91</v>
      </c>
      <c r="F202" s="2" t="s">
        <v>130</v>
      </c>
      <c r="G202" s="2" t="s">
        <v>131</v>
      </c>
      <c r="H202" s="2" t="s">
        <v>31</v>
      </c>
      <c r="I202" s="2" t="s">
        <v>53</v>
      </c>
      <c r="J202" s="2">
        <v>51950.12</v>
      </c>
      <c r="K202" s="2" t="s">
        <v>39</v>
      </c>
      <c r="L202" s="3">
        <v>45700</v>
      </c>
      <c r="M202" s="2" t="s">
        <v>24</v>
      </c>
      <c r="N202" s="2">
        <v>901918.7</v>
      </c>
      <c r="O202" s="2" t="s">
        <v>25</v>
      </c>
      <c r="P202" s="5" t="str">
        <f t="shared" si="15"/>
        <v>2025-02</v>
      </c>
      <c r="Q202">
        <f t="shared" si="16"/>
        <v>51950.12</v>
      </c>
      <c r="R202">
        <f t="shared" si="17"/>
        <v>0</v>
      </c>
      <c r="S202" t="str">
        <f t="shared" si="18"/>
        <v>Cash-Based</v>
      </c>
      <c r="T202" t="str">
        <f t="shared" si="19"/>
        <v>One-Time User</v>
      </c>
    </row>
    <row r="203" spans="1:20" ht="15.75" customHeight="1" x14ac:dyDescent="0.3">
      <c r="A203" s="2" t="s">
        <v>492</v>
      </c>
      <c r="B203" s="2">
        <v>534364</v>
      </c>
      <c r="C203" s="2" t="s">
        <v>493</v>
      </c>
      <c r="D203" s="2">
        <v>908844402758</v>
      </c>
      <c r="E203" s="2" t="s">
        <v>91</v>
      </c>
      <c r="F203" s="2" t="s">
        <v>109</v>
      </c>
      <c r="G203" s="2" t="s">
        <v>110</v>
      </c>
      <c r="H203" s="2" t="s">
        <v>31</v>
      </c>
      <c r="I203" s="2" t="s">
        <v>22</v>
      </c>
      <c r="J203" s="2">
        <v>443370.23999999999</v>
      </c>
      <c r="K203" s="2" t="s">
        <v>39</v>
      </c>
      <c r="L203" s="3">
        <v>45361</v>
      </c>
      <c r="M203" s="2" t="s">
        <v>24</v>
      </c>
      <c r="N203" s="2">
        <v>556602.14</v>
      </c>
      <c r="O203" s="2" t="s">
        <v>25</v>
      </c>
      <c r="P203" s="5" t="str">
        <f t="shared" si="15"/>
        <v>2024-03</v>
      </c>
      <c r="Q203">
        <f t="shared" si="16"/>
        <v>443370.23999999999</v>
      </c>
      <c r="R203">
        <f t="shared" si="17"/>
        <v>0</v>
      </c>
      <c r="S203" t="str">
        <f t="shared" si="18"/>
        <v>Cash-Based</v>
      </c>
      <c r="T203" t="str">
        <f t="shared" si="19"/>
        <v>One-Time User</v>
      </c>
    </row>
    <row r="204" spans="1:20" ht="15.75" customHeight="1" x14ac:dyDescent="0.3">
      <c r="A204" s="2" t="s">
        <v>494</v>
      </c>
      <c r="B204" s="2">
        <v>929089</v>
      </c>
      <c r="C204" s="2" t="s">
        <v>495</v>
      </c>
      <c r="D204" s="2">
        <v>879121856049</v>
      </c>
      <c r="E204" s="2" t="s">
        <v>35</v>
      </c>
      <c r="F204" s="2" t="s">
        <v>60</v>
      </c>
      <c r="G204" s="2" t="s">
        <v>61</v>
      </c>
      <c r="H204" s="2" t="s">
        <v>31</v>
      </c>
      <c r="I204" s="2" t="s">
        <v>22</v>
      </c>
      <c r="J204" s="2">
        <v>282561.71999999997</v>
      </c>
      <c r="K204" s="2" t="s">
        <v>23</v>
      </c>
      <c r="L204" s="3">
        <v>45484</v>
      </c>
      <c r="M204" s="2" t="s">
        <v>50</v>
      </c>
      <c r="N204" s="2">
        <v>1454386.03</v>
      </c>
      <c r="O204" s="2" t="s">
        <v>25</v>
      </c>
      <c r="P204" s="5" t="str">
        <f t="shared" si="15"/>
        <v>2024-07</v>
      </c>
      <c r="Q204">
        <f t="shared" si="16"/>
        <v>282561.71999999997</v>
      </c>
      <c r="R204">
        <f t="shared" si="17"/>
        <v>0</v>
      </c>
      <c r="S204" t="str">
        <f t="shared" si="18"/>
        <v>Digital</v>
      </c>
      <c r="T204" t="str">
        <f t="shared" si="19"/>
        <v>One-Time User</v>
      </c>
    </row>
    <row r="205" spans="1:20" ht="15.75" customHeight="1" x14ac:dyDescent="0.3">
      <c r="A205" s="2" t="s">
        <v>496</v>
      </c>
      <c r="B205" s="2">
        <v>767038</v>
      </c>
      <c r="C205" s="2" t="s">
        <v>497</v>
      </c>
      <c r="D205" s="2">
        <v>448540026288</v>
      </c>
      <c r="E205" s="2" t="s">
        <v>64</v>
      </c>
      <c r="F205" s="2" t="s">
        <v>83</v>
      </c>
      <c r="G205" s="2" t="s">
        <v>84</v>
      </c>
      <c r="H205" s="2" t="s">
        <v>31</v>
      </c>
      <c r="I205" s="2" t="s">
        <v>48</v>
      </c>
      <c r="J205" s="2">
        <v>154737.07</v>
      </c>
      <c r="K205" s="2" t="s">
        <v>32</v>
      </c>
      <c r="L205" s="3">
        <v>45624</v>
      </c>
      <c r="M205" s="2" t="s">
        <v>24</v>
      </c>
      <c r="N205" s="2">
        <v>1021765.12</v>
      </c>
      <c r="O205" s="2" t="s">
        <v>25</v>
      </c>
      <c r="P205" s="5" t="str">
        <f t="shared" si="15"/>
        <v>2024-11</v>
      </c>
      <c r="Q205">
        <f t="shared" si="16"/>
        <v>154737.07</v>
      </c>
      <c r="R205">
        <f t="shared" si="17"/>
        <v>0</v>
      </c>
      <c r="S205" t="str">
        <f t="shared" si="18"/>
        <v>Cash-Based</v>
      </c>
      <c r="T205" t="str">
        <f t="shared" si="19"/>
        <v>One-Time User</v>
      </c>
    </row>
    <row r="206" spans="1:20" ht="15.75" customHeight="1" x14ac:dyDescent="0.3">
      <c r="A206" s="2" t="s">
        <v>498</v>
      </c>
      <c r="B206" s="2">
        <v>661975</v>
      </c>
      <c r="C206" s="2" t="s">
        <v>499</v>
      </c>
      <c r="D206" s="2">
        <v>700954169412</v>
      </c>
      <c r="E206" s="2" t="s">
        <v>91</v>
      </c>
      <c r="F206" s="2" t="s">
        <v>162</v>
      </c>
      <c r="G206" s="2" t="s">
        <v>163</v>
      </c>
      <c r="H206" s="2" t="s">
        <v>21</v>
      </c>
      <c r="I206" s="2" t="s">
        <v>48</v>
      </c>
      <c r="J206" s="2">
        <v>116023.92</v>
      </c>
      <c r="K206" s="2" t="s">
        <v>32</v>
      </c>
      <c r="L206" s="3">
        <v>45761</v>
      </c>
      <c r="M206" s="2" t="s">
        <v>24</v>
      </c>
      <c r="N206" s="2">
        <v>1887254.61</v>
      </c>
      <c r="O206" s="2" t="s">
        <v>25</v>
      </c>
      <c r="P206" s="5" t="str">
        <f t="shared" si="15"/>
        <v>2025-04</v>
      </c>
      <c r="Q206">
        <f t="shared" si="16"/>
        <v>116023.92</v>
      </c>
      <c r="R206">
        <f t="shared" si="17"/>
        <v>0</v>
      </c>
      <c r="S206" t="str">
        <f t="shared" si="18"/>
        <v>Cash-Based</v>
      </c>
      <c r="T206" t="str">
        <f t="shared" si="19"/>
        <v>One-Time User</v>
      </c>
    </row>
    <row r="207" spans="1:20" ht="15.75" customHeight="1" x14ac:dyDescent="0.3">
      <c r="A207" s="2" t="s">
        <v>500</v>
      </c>
      <c r="B207" s="2">
        <v>716285</v>
      </c>
      <c r="C207" s="2" t="s">
        <v>501</v>
      </c>
      <c r="D207" s="2">
        <v>784033043076</v>
      </c>
      <c r="E207" s="2" t="s">
        <v>35</v>
      </c>
      <c r="F207" s="2" t="s">
        <v>36</v>
      </c>
      <c r="G207" s="2" t="s">
        <v>37</v>
      </c>
      <c r="H207" s="2" t="s">
        <v>31</v>
      </c>
      <c r="I207" s="2" t="s">
        <v>22</v>
      </c>
      <c r="J207" s="2">
        <v>70607.77</v>
      </c>
      <c r="K207" s="2" t="s">
        <v>39</v>
      </c>
      <c r="L207" s="3">
        <v>45329</v>
      </c>
      <c r="M207" s="2" t="s">
        <v>24</v>
      </c>
      <c r="N207" s="2">
        <v>1543020.48</v>
      </c>
      <c r="O207" s="2" t="s">
        <v>25</v>
      </c>
      <c r="P207" s="5" t="str">
        <f t="shared" si="15"/>
        <v>2024-02</v>
      </c>
      <c r="Q207">
        <f t="shared" si="16"/>
        <v>70607.77</v>
      </c>
      <c r="R207">
        <f t="shared" si="17"/>
        <v>0</v>
      </c>
      <c r="S207" t="str">
        <f t="shared" si="18"/>
        <v>Cash-Based</v>
      </c>
      <c r="T207" t="str">
        <f t="shared" si="19"/>
        <v>One-Time User</v>
      </c>
    </row>
    <row r="208" spans="1:20" ht="15.75" customHeight="1" x14ac:dyDescent="0.3">
      <c r="A208" s="2" t="s">
        <v>502</v>
      </c>
      <c r="B208" s="2">
        <v>605524</v>
      </c>
      <c r="C208" s="2" t="s">
        <v>503</v>
      </c>
      <c r="D208" s="2">
        <v>956938466004</v>
      </c>
      <c r="E208" s="2" t="s">
        <v>64</v>
      </c>
      <c r="F208" s="2" t="s">
        <v>146</v>
      </c>
      <c r="G208" s="2" t="s">
        <v>147</v>
      </c>
      <c r="H208" s="2" t="s">
        <v>31</v>
      </c>
      <c r="I208" s="2" t="s">
        <v>38</v>
      </c>
      <c r="J208" s="2">
        <v>72811.91</v>
      </c>
      <c r="K208" s="2" t="s">
        <v>39</v>
      </c>
      <c r="L208" s="3">
        <v>45436</v>
      </c>
      <c r="M208" s="2" t="s">
        <v>24</v>
      </c>
      <c r="N208" s="2">
        <v>84736.760000000009</v>
      </c>
      <c r="O208" s="2" t="s">
        <v>25</v>
      </c>
      <c r="P208" s="5" t="str">
        <f t="shared" si="15"/>
        <v>2024-05</v>
      </c>
      <c r="Q208">
        <f t="shared" si="16"/>
        <v>-72811.91</v>
      </c>
      <c r="R208">
        <f t="shared" si="17"/>
        <v>0</v>
      </c>
      <c r="S208" t="str">
        <f t="shared" si="18"/>
        <v>Cash-Based</v>
      </c>
      <c r="T208" t="str">
        <f t="shared" si="19"/>
        <v>One-Time User</v>
      </c>
    </row>
    <row r="209" spans="1:20" ht="15.75" customHeight="1" x14ac:dyDescent="0.3">
      <c r="A209" s="2" t="s">
        <v>504</v>
      </c>
      <c r="B209" s="2">
        <v>765487</v>
      </c>
      <c r="C209" s="2" t="s">
        <v>505</v>
      </c>
      <c r="D209" s="2">
        <v>356872754777</v>
      </c>
      <c r="E209" s="2" t="s">
        <v>35</v>
      </c>
      <c r="F209" s="2" t="s">
        <v>60</v>
      </c>
      <c r="G209" s="2" t="s">
        <v>61</v>
      </c>
      <c r="H209" s="2" t="s">
        <v>31</v>
      </c>
      <c r="I209" s="2" t="s">
        <v>38</v>
      </c>
      <c r="J209" s="2">
        <v>107276.07</v>
      </c>
      <c r="K209" s="2" t="s">
        <v>23</v>
      </c>
      <c r="L209" s="3">
        <v>45658</v>
      </c>
      <c r="M209" s="2" t="s">
        <v>24</v>
      </c>
      <c r="N209" s="2">
        <v>1500386.7</v>
      </c>
      <c r="O209" s="2" t="s">
        <v>25</v>
      </c>
      <c r="P209" s="5" t="str">
        <f t="shared" si="15"/>
        <v>2025-01</v>
      </c>
      <c r="Q209">
        <f t="shared" si="16"/>
        <v>-107276.07</v>
      </c>
      <c r="R209">
        <f t="shared" si="17"/>
        <v>0</v>
      </c>
      <c r="S209" t="str">
        <f t="shared" si="18"/>
        <v>Digital</v>
      </c>
      <c r="T209" t="str">
        <f t="shared" si="19"/>
        <v>One-Time User</v>
      </c>
    </row>
    <row r="210" spans="1:20" ht="15.75" customHeight="1" x14ac:dyDescent="0.3">
      <c r="A210" s="2" t="s">
        <v>506</v>
      </c>
      <c r="B210" s="2">
        <v>155745</v>
      </c>
      <c r="C210" s="2" t="s">
        <v>507</v>
      </c>
      <c r="D210" s="2">
        <v>967181974276</v>
      </c>
      <c r="E210" s="2" t="s">
        <v>28</v>
      </c>
      <c r="F210" s="2" t="s">
        <v>29</v>
      </c>
      <c r="G210" s="2" t="s">
        <v>30</v>
      </c>
      <c r="H210" s="2" t="s">
        <v>70</v>
      </c>
      <c r="I210" s="2" t="s">
        <v>22</v>
      </c>
      <c r="J210" s="2">
        <v>91230.37</v>
      </c>
      <c r="K210" s="2" t="s">
        <v>49</v>
      </c>
      <c r="L210" s="3">
        <v>45235</v>
      </c>
      <c r="M210" s="2" t="s">
        <v>24</v>
      </c>
      <c r="N210" s="2">
        <v>1671638.55</v>
      </c>
      <c r="O210" s="2" t="s">
        <v>25</v>
      </c>
      <c r="P210" s="5" t="str">
        <f t="shared" si="15"/>
        <v>2023-11</v>
      </c>
      <c r="Q210">
        <f t="shared" si="16"/>
        <v>91230.37</v>
      </c>
      <c r="R210">
        <f t="shared" si="17"/>
        <v>0</v>
      </c>
      <c r="S210" t="str">
        <f t="shared" si="18"/>
        <v>Cash-Based</v>
      </c>
      <c r="T210" t="str">
        <f t="shared" si="19"/>
        <v>One-Time User</v>
      </c>
    </row>
    <row r="211" spans="1:20" ht="15.75" customHeight="1" x14ac:dyDescent="0.3">
      <c r="A211" s="2" t="s">
        <v>508</v>
      </c>
      <c r="B211" s="2">
        <v>303453</v>
      </c>
      <c r="C211" s="2" t="s">
        <v>509</v>
      </c>
      <c r="D211" s="2">
        <v>243746329004</v>
      </c>
      <c r="E211" s="2" t="s">
        <v>91</v>
      </c>
      <c r="F211" s="2" t="s">
        <v>92</v>
      </c>
      <c r="G211" s="2" t="s">
        <v>93</v>
      </c>
      <c r="H211" s="2" t="s">
        <v>21</v>
      </c>
      <c r="I211" s="2" t="s">
        <v>53</v>
      </c>
      <c r="J211" s="2">
        <v>152931.09</v>
      </c>
      <c r="K211" s="2" t="s">
        <v>49</v>
      </c>
      <c r="L211" s="3">
        <v>45373</v>
      </c>
      <c r="M211" s="2" t="s">
        <v>24</v>
      </c>
      <c r="N211" s="2">
        <v>687439.49</v>
      </c>
      <c r="O211" s="2" t="s">
        <v>25</v>
      </c>
      <c r="P211" s="5" t="str">
        <f t="shared" si="15"/>
        <v>2024-03</v>
      </c>
      <c r="Q211">
        <f t="shared" si="16"/>
        <v>152931.09</v>
      </c>
      <c r="R211">
        <f t="shared" si="17"/>
        <v>0</v>
      </c>
      <c r="S211" t="str">
        <f t="shared" si="18"/>
        <v>Cash-Based</v>
      </c>
      <c r="T211" t="str">
        <f t="shared" si="19"/>
        <v>One-Time User</v>
      </c>
    </row>
    <row r="212" spans="1:20" ht="15.75" customHeight="1" x14ac:dyDescent="0.3">
      <c r="A212" s="2" t="s">
        <v>510</v>
      </c>
      <c r="B212" s="2">
        <v>787015</v>
      </c>
      <c r="C212" s="2" t="s">
        <v>511</v>
      </c>
      <c r="D212" s="2">
        <v>575318543797</v>
      </c>
      <c r="E212" s="2" t="s">
        <v>64</v>
      </c>
      <c r="F212" s="2" t="s">
        <v>166</v>
      </c>
      <c r="G212" s="2" t="s">
        <v>167</v>
      </c>
      <c r="H212" s="2" t="s">
        <v>70</v>
      </c>
      <c r="I212" s="2" t="s">
        <v>38</v>
      </c>
      <c r="J212" s="2">
        <v>79178.86</v>
      </c>
      <c r="K212" s="2" t="s">
        <v>49</v>
      </c>
      <c r="L212" s="3">
        <v>45797</v>
      </c>
      <c r="M212" s="2" t="s">
        <v>24</v>
      </c>
      <c r="N212" s="2">
        <v>1718077.34</v>
      </c>
      <c r="O212" s="2" t="s">
        <v>179</v>
      </c>
      <c r="P212" s="5" t="str">
        <f t="shared" si="15"/>
        <v>2025-05</v>
      </c>
      <c r="Q212">
        <f t="shared" si="16"/>
        <v>-79178.86</v>
      </c>
      <c r="R212">
        <f t="shared" si="17"/>
        <v>1</v>
      </c>
      <c r="S212" t="str">
        <f t="shared" si="18"/>
        <v>Cash-Based</v>
      </c>
      <c r="T212" t="str">
        <f t="shared" si="19"/>
        <v>One-Time User</v>
      </c>
    </row>
    <row r="213" spans="1:20" ht="15.75" customHeight="1" x14ac:dyDescent="0.3">
      <c r="A213" s="2" t="s">
        <v>512</v>
      </c>
      <c r="B213" s="2">
        <v>343315</v>
      </c>
      <c r="C213" s="2" t="s">
        <v>513</v>
      </c>
      <c r="D213" s="2">
        <v>972348027984</v>
      </c>
      <c r="E213" s="2" t="s">
        <v>91</v>
      </c>
      <c r="F213" s="2" t="s">
        <v>109</v>
      </c>
      <c r="G213" s="2" t="s">
        <v>110</v>
      </c>
      <c r="H213" s="2" t="s">
        <v>21</v>
      </c>
      <c r="I213" s="2" t="s">
        <v>48</v>
      </c>
      <c r="J213" s="2">
        <v>56093.16</v>
      </c>
      <c r="K213" s="2" t="s">
        <v>32</v>
      </c>
      <c r="L213" s="3">
        <v>45237</v>
      </c>
      <c r="M213" s="2" t="s">
        <v>24</v>
      </c>
      <c r="N213" s="2">
        <v>2049780.56</v>
      </c>
      <c r="O213" s="2" t="s">
        <v>25</v>
      </c>
      <c r="P213" s="5" t="str">
        <f t="shared" si="15"/>
        <v>2023-11</v>
      </c>
      <c r="Q213">
        <f t="shared" si="16"/>
        <v>56093.16</v>
      </c>
      <c r="R213">
        <f t="shared" si="17"/>
        <v>0</v>
      </c>
      <c r="S213" t="str">
        <f t="shared" si="18"/>
        <v>Cash-Based</v>
      </c>
      <c r="T213" t="str">
        <f t="shared" si="19"/>
        <v>One-Time User</v>
      </c>
    </row>
    <row r="214" spans="1:20" ht="15.75" customHeight="1" x14ac:dyDescent="0.3">
      <c r="A214" s="2" t="s">
        <v>514</v>
      </c>
      <c r="B214" s="2">
        <v>840177</v>
      </c>
      <c r="C214" s="2" t="s">
        <v>515</v>
      </c>
      <c r="D214" s="2">
        <v>620866833278</v>
      </c>
      <c r="E214" s="2" t="s">
        <v>28</v>
      </c>
      <c r="F214" s="2" t="s">
        <v>192</v>
      </c>
      <c r="G214" s="2" t="s">
        <v>193</v>
      </c>
      <c r="H214" s="2" t="s">
        <v>67</v>
      </c>
      <c r="I214" s="2" t="s">
        <v>38</v>
      </c>
      <c r="J214" s="2">
        <v>28423.01</v>
      </c>
      <c r="K214" s="2" t="s">
        <v>98</v>
      </c>
      <c r="L214" s="3">
        <v>45775</v>
      </c>
      <c r="M214" s="2" t="s">
        <v>24</v>
      </c>
      <c r="N214" s="2">
        <v>508306.81999999989</v>
      </c>
      <c r="O214" s="2" t="s">
        <v>25</v>
      </c>
      <c r="P214" s="5" t="str">
        <f t="shared" si="15"/>
        <v>2025-04</v>
      </c>
      <c r="Q214">
        <f t="shared" si="16"/>
        <v>-28423.01</v>
      </c>
      <c r="R214">
        <f t="shared" si="17"/>
        <v>0</v>
      </c>
      <c r="S214" t="str">
        <f t="shared" si="18"/>
        <v>Cash-Based</v>
      </c>
      <c r="T214" t="str">
        <f t="shared" si="19"/>
        <v>One-Time User</v>
      </c>
    </row>
    <row r="215" spans="1:20" ht="15.75" customHeight="1" x14ac:dyDescent="0.3">
      <c r="A215" s="2" t="s">
        <v>516</v>
      </c>
      <c r="B215" s="2">
        <v>449494</v>
      </c>
      <c r="C215" s="2" t="s">
        <v>517</v>
      </c>
      <c r="D215" s="2">
        <v>655684209042</v>
      </c>
      <c r="E215" s="2" t="s">
        <v>28</v>
      </c>
      <c r="F215" s="2" t="s">
        <v>29</v>
      </c>
      <c r="G215" s="2" t="s">
        <v>30</v>
      </c>
      <c r="H215" s="2" t="s">
        <v>31</v>
      </c>
      <c r="I215" s="2" t="s">
        <v>48</v>
      </c>
      <c r="J215" s="2">
        <v>265513.02</v>
      </c>
      <c r="K215" s="2" t="s">
        <v>49</v>
      </c>
      <c r="L215" s="3">
        <v>45539</v>
      </c>
      <c r="M215" s="2" t="s">
        <v>24</v>
      </c>
      <c r="N215" s="2">
        <v>1258078.81</v>
      </c>
      <c r="O215" s="2" t="s">
        <v>25</v>
      </c>
      <c r="P215" s="5" t="str">
        <f t="shared" si="15"/>
        <v>2024-09</v>
      </c>
      <c r="Q215">
        <f t="shared" si="16"/>
        <v>265513.02</v>
      </c>
      <c r="R215">
        <f t="shared" si="17"/>
        <v>0</v>
      </c>
      <c r="S215" t="str">
        <f t="shared" si="18"/>
        <v>Cash-Based</v>
      </c>
      <c r="T215" t="str">
        <f t="shared" si="19"/>
        <v>One-Time User</v>
      </c>
    </row>
    <row r="216" spans="1:20" ht="15.75" customHeight="1" x14ac:dyDescent="0.3">
      <c r="A216" s="2" t="s">
        <v>518</v>
      </c>
      <c r="B216" s="2">
        <v>592263</v>
      </c>
      <c r="C216" s="2" t="s">
        <v>519</v>
      </c>
      <c r="D216" s="2">
        <v>393065946926</v>
      </c>
      <c r="E216" s="2" t="s">
        <v>35</v>
      </c>
      <c r="F216" s="2" t="s">
        <v>42</v>
      </c>
      <c r="G216" s="2" t="s">
        <v>43</v>
      </c>
      <c r="H216" s="2" t="s">
        <v>70</v>
      </c>
      <c r="I216" s="2" t="s">
        <v>22</v>
      </c>
      <c r="J216" s="2">
        <v>420524.11</v>
      </c>
      <c r="K216" s="2" t="s">
        <v>32</v>
      </c>
      <c r="L216" s="3">
        <v>45121</v>
      </c>
      <c r="M216" s="2" t="s">
        <v>24</v>
      </c>
      <c r="N216" s="2">
        <v>1287572.97</v>
      </c>
      <c r="O216" s="2" t="s">
        <v>25</v>
      </c>
      <c r="P216" s="5" t="str">
        <f t="shared" si="15"/>
        <v>2023-07</v>
      </c>
      <c r="Q216">
        <f t="shared" si="16"/>
        <v>420524.11</v>
      </c>
      <c r="R216">
        <f t="shared" si="17"/>
        <v>0</v>
      </c>
      <c r="S216" t="str">
        <f t="shared" si="18"/>
        <v>Cash-Based</v>
      </c>
      <c r="T216" t="str">
        <f t="shared" si="19"/>
        <v>One-Time User</v>
      </c>
    </row>
    <row r="217" spans="1:20" ht="15.75" customHeight="1" x14ac:dyDescent="0.3">
      <c r="A217" s="2" t="s">
        <v>520</v>
      </c>
      <c r="B217" s="2">
        <v>903080</v>
      </c>
      <c r="C217" s="2" t="s">
        <v>521</v>
      </c>
      <c r="D217" s="2">
        <v>770477101883</v>
      </c>
      <c r="E217" s="2" t="s">
        <v>64</v>
      </c>
      <c r="F217" s="2" t="s">
        <v>83</v>
      </c>
      <c r="G217" s="2" t="s">
        <v>84</v>
      </c>
      <c r="H217" s="2" t="s">
        <v>67</v>
      </c>
      <c r="I217" s="2" t="s">
        <v>48</v>
      </c>
      <c r="J217" s="2">
        <v>63923.91</v>
      </c>
      <c r="K217" s="2" t="s">
        <v>23</v>
      </c>
      <c r="L217" s="3">
        <v>45367</v>
      </c>
      <c r="M217" s="2" t="s">
        <v>24</v>
      </c>
      <c r="N217" s="2">
        <v>1027058.02</v>
      </c>
      <c r="O217" s="2" t="s">
        <v>25</v>
      </c>
      <c r="P217" s="5" t="str">
        <f t="shared" si="15"/>
        <v>2024-03</v>
      </c>
      <c r="Q217">
        <f t="shared" si="16"/>
        <v>63923.91</v>
      </c>
      <c r="R217">
        <f t="shared" si="17"/>
        <v>0</v>
      </c>
      <c r="S217" t="str">
        <f t="shared" si="18"/>
        <v>Digital</v>
      </c>
      <c r="T217" t="str">
        <f t="shared" si="19"/>
        <v>One-Time User</v>
      </c>
    </row>
    <row r="218" spans="1:20" ht="15.75" customHeight="1" x14ac:dyDescent="0.3">
      <c r="A218" s="2" t="s">
        <v>522</v>
      </c>
      <c r="B218" s="2">
        <v>438809</v>
      </c>
      <c r="C218" s="2" t="s">
        <v>523</v>
      </c>
      <c r="D218" s="2">
        <v>268345748955</v>
      </c>
      <c r="E218" s="2" t="s">
        <v>28</v>
      </c>
      <c r="F218" s="2" t="s">
        <v>216</v>
      </c>
      <c r="G218" s="2" t="s">
        <v>217</v>
      </c>
      <c r="H218" s="2" t="s">
        <v>21</v>
      </c>
      <c r="I218" s="2" t="s">
        <v>48</v>
      </c>
      <c r="J218" s="2">
        <v>146930.62</v>
      </c>
      <c r="K218" s="2" t="s">
        <v>32</v>
      </c>
      <c r="L218" s="3">
        <v>45770</v>
      </c>
      <c r="M218" s="2" t="s">
        <v>24</v>
      </c>
      <c r="N218" s="2">
        <v>744892.46</v>
      </c>
      <c r="O218" s="2" t="s">
        <v>25</v>
      </c>
      <c r="P218" s="5" t="str">
        <f t="shared" si="15"/>
        <v>2025-04</v>
      </c>
      <c r="Q218">
        <f t="shared" si="16"/>
        <v>146930.62</v>
      </c>
      <c r="R218">
        <f t="shared" si="17"/>
        <v>0</v>
      </c>
      <c r="S218" t="str">
        <f t="shared" si="18"/>
        <v>Cash-Based</v>
      </c>
      <c r="T218" t="str">
        <f t="shared" si="19"/>
        <v>One-Time User</v>
      </c>
    </row>
    <row r="219" spans="1:20" ht="15.75" customHeight="1" x14ac:dyDescent="0.3">
      <c r="A219" s="2" t="s">
        <v>524</v>
      </c>
      <c r="B219" s="2">
        <v>521810</v>
      </c>
      <c r="C219" s="2" t="s">
        <v>525</v>
      </c>
      <c r="D219" s="2">
        <v>309101241276</v>
      </c>
      <c r="E219" s="2" t="s">
        <v>91</v>
      </c>
      <c r="F219" s="2" t="s">
        <v>109</v>
      </c>
      <c r="G219" s="2" t="s">
        <v>110</v>
      </c>
      <c r="H219" s="2" t="s">
        <v>67</v>
      </c>
      <c r="I219" s="2" t="s">
        <v>38</v>
      </c>
      <c r="J219" s="2">
        <v>67585.070000000007</v>
      </c>
      <c r="K219" s="2" t="s">
        <v>98</v>
      </c>
      <c r="L219" s="3">
        <v>45572</v>
      </c>
      <c r="M219" s="2" t="s">
        <v>113</v>
      </c>
      <c r="N219" s="2">
        <v>100329.61</v>
      </c>
      <c r="O219" s="2" t="s">
        <v>25</v>
      </c>
      <c r="P219" s="5" t="str">
        <f t="shared" si="15"/>
        <v>2024-10</v>
      </c>
      <c r="Q219">
        <f t="shared" si="16"/>
        <v>-67585.070000000007</v>
      </c>
      <c r="R219">
        <f t="shared" si="17"/>
        <v>0</v>
      </c>
      <c r="S219" t="str">
        <f t="shared" si="18"/>
        <v>Cash-Based</v>
      </c>
      <c r="T219" t="str">
        <f t="shared" si="19"/>
        <v>One-Time User</v>
      </c>
    </row>
    <row r="220" spans="1:20" ht="15.75" customHeight="1" x14ac:dyDescent="0.3">
      <c r="A220" s="2" t="s">
        <v>526</v>
      </c>
      <c r="B220" s="2">
        <v>727634</v>
      </c>
      <c r="C220" s="2" t="s">
        <v>527</v>
      </c>
      <c r="D220" s="2">
        <v>543364918707</v>
      </c>
      <c r="E220" s="2" t="s">
        <v>64</v>
      </c>
      <c r="F220" s="2" t="s">
        <v>177</v>
      </c>
      <c r="G220" s="2" t="s">
        <v>178</v>
      </c>
      <c r="H220" s="2" t="s">
        <v>70</v>
      </c>
      <c r="I220" s="2" t="s">
        <v>22</v>
      </c>
      <c r="J220" s="2">
        <v>72775.399999999994</v>
      </c>
      <c r="K220" s="2" t="s">
        <v>39</v>
      </c>
      <c r="L220" s="3">
        <v>45341</v>
      </c>
      <c r="M220" s="2" t="s">
        <v>24</v>
      </c>
      <c r="N220" s="2">
        <v>1528394.35</v>
      </c>
      <c r="O220" s="2" t="s">
        <v>25</v>
      </c>
      <c r="P220" s="5" t="str">
        <f t="shared" si="15"/>
        <v>2024-02</v>
      </c>
      <c r="Q220">
        <f t="shared" si="16"/>
        <v>72775.399999999994</v>
      </c>
      <c r="R220">
        <f t="shared" si="17"/>
        <v>0</v>
      </c>
      <c r="S220" t="str">
        <f t="shared" si="18"/>
        <v>Cash-Based</v>
      </c>
      <c r="T220" t="str">
        <f t="shared" si="19"/>
        <v>One-Time User</v>
      </c>
    </row>
    <row r="221" spans="1:20" ht="15.75" customHeight="1" x14ac:dyDescent="0.3">
      <c r="A221" s="2" t="s">
        <v>528</v>
      </c>
      <c r="B221" s="2">
        <v>149140</v>
      </c>
      <c r="C221" s="2" t="s">
        <v>529</v>
      </c>
      <c r="D221" s="2">
        <v>319552688595</v>
      </c>
      <c r="E221" s="2" t="s">
        <v>18</v>
      </c>
      <c r="F221" s="2" t="s">
        <v>46</v>
      </c>
      <c r="G221" s="2" t="s">
        <v>47</v>
      </c>
      <c r="H221" s="2" t="s">
        <v>67</v>
      </c>
      <c r="I221" s="2" t="s">
        <v>38</v>
      </c>
      <c r="J221" s="2">
        <v>34703.17</v>
      </c>
      <c r="K221" s="2" t="s">
        <v>98</v>
      </c>
      <c r="L221" s="3">
        <v>45765</v>
      </c>
      <c r="M221" s="2" t="s">
        <v>24</v>
      </c>
      <c r="N221" s="2">
        <v>1244069.3400000001</v>
      </c>
      <c r="O221" s="2" t="s">
        <v>25</v>
      </c>
      <c r="P221" s="5" t="str">
        <f t="shared" si="15"/>
        <v>2025-04</v>
      </c>
      <c r="Q221">
        <f t="shared" si="16"/>
        <v>-34703.17</v>
      </c>
      <c r="R221">
        <f t="shared" si="17"/>
        <v>0</v>
      </c>
      <c r="S221" t="str">
        <f t="shared" si="18"/>
        <v>Cash-Based</v>
      </c>
      <c r="T221" t="str">
        <f t="shared" si="19"/>
        <v>One-Time User</v>
      </c>
    </row>
    <row r="222" spans="1:20" ht="15.75" customHeight="1" x14ac:dyDescent="0.3">
      <c r="A222" s="2" t="s">
        <v>530</v>
      </c>
      <c r="B222" s="2">
        <v>507147</v>
      </c>
      <c r="C222" s="2" t="s">
        <v>531</v>
      </c>
      <c r="D222" s="2">
        <v>684278087022</v>
      </c>
      <c r="E222" s="2" t="s">
        <v>28</v>
      </c>
      <c r="F222" s="2" t="s">
        <v>150</v>
      </c>
      <c r="G222" s="2" t="s">
        <v>151</v>
      </c>
      <c r="H222" s="2" t="s">
        <v>70</v>
      </c>
      <c r="I222" s="2" t="s">
        <v>48</v>
      </c>
      <c r="J222" s="2">
        <v>45309.52</v>
      </c>
      <c r="K222" s="2" t="s">
        <v>49</v>
      </c>
      <c r="L222" s="3">
        <v>45300</v>
      </c>
      <c r="M222" s="2" t="s">
        <v>113</v>
      </c>
      <c r="N222" s="2">
        <v>334817.68</v>
      </c>
      <c r="O222" s="2" t="s">
        <v>25</v>
      </c>
      <c r="P222" s="5" t="str">
        <f t="shared" si="15"/>
        <v>2024-01</v>
      </c>
      <c r="Q222">
        <f t="shared" si="16"/>
        <v>45309.52</v>
      </c>
      <c r="R222">
        <f t="shared" si="17"/>
        <v>0</v>
      </c>
      <c r="S222" t="str">
        <f t="shared" si="18"/>
        <v>Cash-Based</v>
      </c>
      <c r="T222" t="str">
        <f t="shared" si="19"/>
        <v>One-Time User</v>
      </c>
    </row>
    <row r="223" spans="1:20" ht="15.75" customHeight="1" x14ac:dyDescent="0.3">
      <c r="A223" s="2" t="s">
        <v>532</v>
      </c>
      <c r="B223" s="2">
        <v>196451</v>
      </c>
      <c r="C223" s="2" t="s">
        <v>533</v>
      </c>
      <c r="D223" s="2">
        <v>789357220935</v>
      </c>
      <c r="E223" s="2" t="s">
        <v>64</v>
      </c>
      <c r="F223" s="2" t="s">
        <v>177</v>
      </c>
      <c r="G223" s="2" t="s">
        <v>178</v>
      </c>
      <c r="H223" s="2" t="s">
        <v>21</v>
      </c>
      <c r="I223" s="2" t="s">
        <v>53</v>
      </c>
      <c r="J223" s="2">
        <v>417377.31</v>
      </c>
      <c r="K223" s="2" t="s">
        <v>98</v>
      </c>
      <c r="L223" s="3">
        <v>45154</v>
      </c>
      <c r="M223" s="2" t="s">
        <v>113</v>
      </c>
      <c r="N223" s="2">
        <v>919157.55</v>
      </c>
      <c r="O223" s="2" t="s">
        <v>25</v>
      </c>
      <c r="P223" s="5" t="str">
        <f t="shared" si="15"/>
        <v>2023-08</v>
      </c>
      <c r="Q223">
        <f t="shared" si="16"/>
        <v>417377.31</v>
      </c>
      <c r="R223">
        <f t="shared" si="17"/>
        <v>0</v>
      </c>
      <c r="S223" t="str">
        <f t="shared" si="18"/>
        <v>Cash-Based</v>
      </c>
      <c r="T223" t="str">
        <f t="shared" si="19"/>
        <v>One-Time User</v>
      </c>
    </row>
    <row r="224" spans="1:20" ht="15.75" customHeight="1" x14ac:dyDescent="0.3">
      <c r="A224" s="2" t="s">
        <v>534</v>
      </c>
      <c r="B224" s="2">
        <v>881741</v>
      </c>
      <c r="C224" s="2" t="s">
        <v>535</v>
      </c>
      <c r="D224" s="2">
        <v>559502587824</v>
      </c>
      <c r="E224" s="2" t="s">
        <v>91</v>
      </c>
      <c r="F224" s="2" t="s">
        <v>130</v>
      </c>
      <c r="G224" s="2" t="s">
        <v>131</v>
      </c>
      <c r="H224" s="2" t="s">
        <v>31</v>
      </c>
      <c r="I224" s="2" t="s">
        <v>53</v>
      </c>
      <c r="J224" s="2">
        <v>236145.49</v>
      </c>
      <c r="K224" s="2" t="s">
        <v>32</v>
      </c>
      <c r="L224" s="3">
        <v>45131</v>
      </c>
      <c r="M224" s="2" t="s">
        <v>24</v>
      </c>
      <c r="N224" s="2">
        <v>1685483.16</v>
      </c>
      <c r="O224" s="2" t="s">
        <v>25</v>
      </c>
      <c r="P224" s="5" t="str">
        <f t="shared" si="15"/>
        <v>2023-07</v>
      </c>
      <c r="Q224">
        <f t="shared" si="16"/>
        <v>236145.49</v>
      </c>
      <c r="R224">
        <f t="shared" si="17"/>
        <v>0</v>
      </c>
      <c r="S224" t="str">
        <f t="shared" si="18"/>
        <v>Cash-Based</v>
      </c>
      <c r="T224" t="str">
        <f t="shared" si="19"/>
        <v>One-Time User</v>
      </c>
    </row>
    <row r="225" spans="1:20" ht="15.75" customHeight="1" x14ac:dyDescent="0.3">
      <c r="A225" s="2" t="s">
        <v>536</v>
      </c>
      <c r="B225" s="2">
        <v>441139</v>
      </c>
      <c r="C225" s="2" t="s">
        <v>537</v>
      </c>
      <c r="D225" s="2">
        <v>411549448636</v>
      </c>
      <c r="E225" s="2" t="s">
        <v>35</v>
      </c>
      <c r="F225" s="2" t="s">
        <v>42</v>
      </c>
      <c r="G225" s="2" t="s">
        <v>43</v>
      </c>
      <c r="H225" s="2" t="s">
        <v>70</v>
      </c>
      <c r="I225" s="2" t="s">
        <v>22</v>
      </c>
      <c r="J225" s="2">
        <v>414000.24</v>
      </c>
      <c r="K225" s="2" t="s">
        <v>49</v>
      </c>
      <c r="L225" s="3">
        <v>45270</v>
      </c>
      <c r="M225" s="2" t="s">
        <v>24</v>
      </c>
      <c r="N225" s="2">
        <v>1924698.42</v>
      </c>
      <c r="O225" s="2" t="s">
        <v>25</v>
      </c>
      <c r="P225" s="5" t="str">
        <f t="shared" si="15"/>
        <v>2023-12</v>
      </c>
      <c r="Q225">
        <f t="shared" si="16"/>
        <v>414000.24</v>
      </c>
      <c r="R225">
        <f t="shared" si="17"/>
        <v>0</v>
      </c>
      <c r="S225" t="str">
        <f t="shared" si="18"/>
        <v>Cash-Based</v>
      </c>
      <c r="T225" t="str">
        <f t="shared" si="19"/>
        <v>One-Time User</v>
      </c>
    </row>
    <row r="226" spans="1:20" ht="15.75" customHeight="1" x14ac:dyDescent="0.3">
      <c r="A226" s="2" t="s">
        <v>538</v>
      </c>
      <c r="B226" s="2">
        <v>265807</v>
      </c>
      <c r="C226" s="2" t="s">
        <v>539</v>
      </c>
      <c r="D226" s="2">
        <v>720641924691</v>
      </c>
      <c r="E226" s="2" t="s">
        <v>18</v>
      </c>
      <c r="F226" s="2" t="s">
        <v>46</v>
      </c>
      <c r="G226" s="2" t="s">
        <v>47</v>
      </c>
      <c r="H226" s="2" t="s">
        <v>67</v>
      </c>
      <c r="I226" s="2" t="s">
        <v>38</v>
      </c>
      <c r="J226" s="2">
        <v>40907.24</v>
      </c>
      <c r="K226" s="2" t="s">
        <v>23</v>
      </c>
      <c r="L226" s="3">
        <v>45386</v>
      </c>
      <c r="M226" s="2" t="s">
        <v>24</v>
      </c>
      <c r="N226" s="2">
        <v>284043.40999999997</v>
      </c>
      <c r="O226" s="2" t="s">
        <v>25</v>
      </c>
      <c r="P226" s="5" t="str">
        <f t="shared" si="15"/>
        <v>2024-04</v>
      </c>
      <c r="Q226">
        <f t="shared" si="16"/>
        <v>-40907.24</v>
      </c>
      <c r="R226">
        <f t="shared" si="17"/>
        <v>0</v>
      </c>
      <c r="S226" t="str">
        <f t="shared" si="18"/>
        <v>Digital</v>
      </c>
      <c r="T226" t="str">
        <f t="shared" si="19"/>
        <v>One-Time User</v>
      </c>
    </row>
    <row r="227" spans="1:20" ht="15.75" customHeight="1" x14ac:dyDescent="0.3">
      <c r="A227" s="2" t="s">
        <v>540</v>
      </c>
      <c r="B227" s="2">
        <v>570485</v>
      </c>
      <c r="C227" s="2" t="s">
        <v>541</v>
      </c>
      <c r="D227" s="2">
        <v>773335459822</v>
      </c>
      <c r="E227" s="2" t="s">
        <v>35</v>
      </c>
      <c r="F227" s="2" t="s">
        <v>36</v>
      </c>
      <c r="G227" s="2" t="s">
        <v>37</v>
      </c>
      <c r="H227" s="2" t="s">
        <v>67</v>
      </c>
      <c r="I227" s="2" t="s">
        <v>48</v>
      </c>
      <c r="J227" s="2">
        <v>230412.57</v>
      </c>
      <c r="K227" s="2" t="s">
        <v>39</v>
      </c>
      <c r="L227" s="3">
        <v>45612</v>
      </c>
      <c r="M227" s="2" t="s">
        <v>24</v>
      </c>
      <c r="N227" s="2">
        <v>1284629.1200000001</v>
      </c>
      <c r="O227" s="2" t="s">
        <v>25</v>
      </c>
      <c r="P227" s="5" t="str">
        <f t="shared" si="15"/>
        <v>2024-11</v>
      </c>
      <c r="Q227">
        <f t="shared" si="16"/>
        <v>230412.57</v>
      </c>
      <c r="R227">
        <f t="shared" si="17"/>
        <v>0</v>
      </c>
      <c r="S227" t="str">
        <f t="shared" si="18"/>
        <v>Cash-Based</v>
      </c>
      <c r="T227" t="str">
        <f t="shared" si="19"/>
        <v>One-Time User</v>
      </c>
    </row>
    <row r="228" spans="1:20" ht="15.75" customHeight="1" x14ac:dyDescent="0.3">
      <c r="A228" s="2" t="s">
        <v>542</v>
      </c>
      <c r="B228" s="2">
        <v>325170</v>
      </c>
      <c r="C228" s="2" t="s">
        <v>543</v>
      </c>
      <c r="D228" s="2">
        <v>356915330199</v>
      </c>
      <c r="E228" s="2" t="s">
        <v>18</v>
      </c>
      <c r="F228" s="2" t="s">
        <v>87</v>
      </c>
      <c r="G228" s="2" t="s">
        <v>88</v>
      </c>
      <c r="H228" s="2" t="s">
        <v>70</v>
      </c>
      <c r="I228" s="2" t="s">
        <v>53</v>
      </c>
      <c r="J228" s="2">
        <v>331287.71999999997</v>
      </c>
      <c r="K228" s="2" t="s">
        <v>32</v>
      </c>
      <c r="L228" s="3">
        <v>45843</v>
      </c>
      <c r="M228" s="2" t="s">
        <v>24</v>
      </c>
      <c r="N228" s="2">
        <v>1097203.82</v>
      </c>
      <c r="O228" s="2" t="s">
        <v>25</v>
      </c>
      <c r="P228" s="5" t="str">
        <f t="shared" si="15"/>
        <v>2025-07</v>
      </c>
      <c r="Q228">
        <f t="shared" si="16"/>
        <v>331287.71999999997</v>
      </c>
      <c r="R228">
        <f t="shared" si="17"/>
        <v>0</v>
      </c>
      <c r="S228" t="str">
        <f t="shared" si="18"/>
        <v>Cash-Based</v>
      </c>
      <c r="T228" t="str">
        <f t="shared" si="19"/>
        <v>One-Time User</v>
      </c>
    </row>
    <row r="229" spans="1:20" ht="15.75" customHeight="1" x14ac:dyDescent="0.3">
      <c r="A229" s="2" t="s">
        <v>544</v>
      </c>
      <c r="B229" s="2">
        <v>533034</v>
      </c>
      <c r="C229" s="2" t="s">
        <v>545</v>
      </c>
      <c r="D229" s="2">
        <v>393607099649</v>
      </c>
      <c r="E229" s="2" t="s">
        <v>64</v>
      </c>
      <c r="F229" s="2" t="s">
        <v>177</v>
      </c>
      <c r="G229" s="2" t="s">
        <v>178</v>
      </c>
      <c r="H229" s="2" t="s">
        <v>21</v>
      </c>
      <c r="I229" s="2" t="s">
        <v>53</v>
      </c>
      <c r="J229" s="2">
        <v>206178.7</v>
      </c>
      <c r="K229" s="2" t="s">
        <v>98</v>
      </c>
      <c r="L229" s="3">
        <v>45398</v>
      </c>
      <c r="M229" s="2" t="s">
        <v>24</v>
      </c>
      <c r="N229" s="2">
        <v>1251653.83</v>
      </c>
      <c r="O229" s="2" t="s">
        <v>25</v>
      </c>
      <c r="P229" s="5" t="str">
        <f t="shared" si="15"/>
        <v>2024-04</v>
      </c>
      <c r="Q229">
        <f t="shared" si="16"/>
        <v>206178.7</v>
      </c>
      <c r="R229">
        <f t="shared" si="17"/>
        <v>0</v>
      </c>
      <c r="S229" t="str">
        <f t="shared" si="18"/>
        <v>Cash-Based</v>
      </c>
      <c r="T229" t="str">
        <f t="shared" si="19"/>
        <v>One-Time User</v>
      </c>
    </row>
    <row r="230" spans="1:20" ht="15.75" customHeight="1" x14ac:dyDescent="0.3">
      <c r="A230" s="2" t="s">
        <v>546</v>
      </c>
      <c r="B230" s="2">
        <v>677618</v>
      </c>
      <c r="C230" s="2" t="s">
        <v>547</v>
      </c>
      <c r="D230" s="2">
        <v>339400232530</v>
      </c>
      <c r="E230" s="2" t="s">
        <v>35</v>
      </c>
      <c r="F230" s="2" t="s">
        <v>136</v>
      </c>
      <c r="G230" s="2" t="s">
        <v>137</v>
      </c>
      <c r="H230" s="2" t="s">
        <v>21</v>
      </c>
      <c r="I230" s="2" t="s">
        <v>22</v>
      </c>
      <c r="J230" s="2">
        <v>590927.39</v>
      </c>
      <c r="K230" s="2" t="s">
        <v>39</v>
      </c>
      <c r="L230" s="3">
        <v>45436</v>
      </c>
      <c r="M230" s="2" t="s">
        <v>24</v>
      </c>
      <c r="N230" s="2">
        <v>852949.58000000007</v>
      </c>
      <c r="O230" s="2" t="s">
        <v>25</v>
      </c>
      <c r="P230" s="5" t="str">
        <f t="shared" si="15"/>
        <v>2024-05</v>
      </c>
      <c r="Q230">
        <f t="shared" si="16"/>
        <v>590927.39</v>
      </c>
      <c r="R230">
        <f t="shared" si="17"/>
        <v>0</v>
      </c>
      <c r="S230" t="str">
        <f t="shared" si="18"/>
        <v>Cash-Based</v>
      </c>
      <c r="T230" t="str">
        <f t="shared" si="19"/>
        <v>One-Time User</v>
      </c>
    </row>
    <row r="231" spans="1:20" ht="15.75" customHeight="1" x14ac:dyDescent="0.3">
      <c r="A231" s="2" t="s">
        <v>548</v>
      </c>
      <c r="B231" s="2">
        <v>630575</v>
      </c>
      <c r="C231" s="2" t="s">
        <v>549</v>
      </c>
      <c r="D231" s="2">
        <v>675328116160</v>
      </c>
      <c r="E231" s="2" t="s">
        <v>64</v>
      </c>
      <c r="F231" s="2" t="s">
        <v>166</v>
      </c>
      <c r="G231" s="2" t="s">
        <v>167</v>
      </c>
      <c r="H231" s="2" t="s">
        <v>70</v>
      </c>
      <c r="I231" s="2" t="s">
        <v>53</v>
      </c>
      <c r="J231" s="2">
        <v>357995.77</v>
      </c>
      <c r="K231" s="2" t="s">
        <v>98</v>
      </c>
      <c r="L231" s="3">
        <v>45660</v>
      </c>
      <c r="M231" s="2" t="s">
        <v>24</v>
      </c>
      <c r="N231" s="2">
        <v>1142710.9099999999</v>
      </c>
      <c r="O231" s="2" t="s">
        <v>25</v>
      </c>
      <c r="P231" s="5" t="str">
        <f t="shared" si="15"/>
        <v>2025-01</v>
      </c>
      <c r="Q231">
        <f t="shared" si="16"/>
        <v>357995.77</v>
      </c>
      <c r="R231">
        <f t="shared" si="17"/>
        <v>0</v>
      </c>
      <c r="S231" t="str">
        <f t="shared" si="18"/>
        <v>Cash-Based</v>
      </c>
      <c r="T231" t="str">
        <f t="shared" si="19"/>
        <v>One-Time User</v>
      </c>
    </row>
    <row r="232" spans="1:20" ht="15.75" customHeight="1" x14ac:dyDescent="0.3">
      <c r="A232" s="2" t="s">
        <v>550</v>
      </c>
      <c r="B232" s="2">
        <v>661610</v>
      </c>
      <c r="C232" s="2" t="s">
        <v>551</v>
      </c>
      <c r="D232" s="2">
        <v>636266180100</v>
      </c>
      <c r="E232" s="2" t="s">
        <v>18</v>
      </c>
      <c r="F232" s="2" t="s">
        <v>56</v>
      </c>
      <c r="G232" s="2" t="s">
        <v>57</v>
      </c>
      <c r="H232" s="2" t="s">
        <v>70</v>
      </c>
      <c r="I232" s="2" t="s">
        <v>48</v>
      </c>
      <c r="J232" s="2">
        <v>125983.99</v>
      </c>
      <c r="K232" s="2" t="s">
        <v>49</v>
      </c>
      <c r="L232" s="3">
        <v>45835</v>
      </c>
      <c r="M232" s="2" t="s">
        <v>113</v>
      </c>
      <c r="N232" s="2">
        <v>1804511.38</v>
      </c>
      <c r="O232" s="2" t="s">
        <v>25</v>
      </c>
      <c r="P232" s="5" t="str">
        <f t="shared" si="15"/>
        <v>2025-06</v>
      </c>
      <c r="Q232">
        <f t="shared" si="16"/>
        <v>125983.99</v>
      </c>
      <c r="R232">
        <f t="shared" si="17"/>
        <v>0</v>
      </c>
      <c r="S232" t="str">
        <f t="shared" si="18"/>
        <v>Cash-Based</v>
      </c>
      <c r="T232" t="str">
        <f t="shared" si="19"/>
        <v>One-Time User</v>
      </c>
    </row>
    <row r="233" spans="1:20" ht="15.75" customHeight="1" x14ac:dyDescent="0.3">
      <c r="A233" s="2" t="s">
        <v>552</v>
      </c>
      <c r="B233" s="2">
        <v>275383</v>
      </c>
      <c r="C233" s="2" t="s">
        <v>553</v>
      </c>
      <c r="D233" s="2">
        <v>349805921639</v>
      </c>
      <c r="E233" s="2" t="s">
        <v>91</v>
      </c>
      <c r="F233" s="2" t="s">
        <v>92</v>
      </c>
      <c r="G233" s="2" t="s">
        <v>93</v>
      </c>
      <c r="H233" s="2" t="s">
        <v>70</v>
      </c>
      <c r="I233" s="2" t="s">
        <v>53</v>
      </c>
      <c r="J233" s="2">
        <v>37759.040000000001</v>
      </c>
      <c r="K233" s="2" t="s">
        <v>32</v>
      </c>
      <c r="L233" s="3">
        <v>45273</v>
      </c>
      <c r="M233" s="2" t="s">
        <v>24</v>
      </c>
      <c r="N233" s="2">
        <v>1961954.36</v>
      </c>
      <c r="O233" s="2" t="s">
        <v>25</v>
      </c>
      <c r="P233" s="5" t="str">
        <f t="shared" si="15"/>
        <v>2023-12</v>
      </c>
      <c r="Q233">
        <f t="shared" si="16"/>
        <v>37759.040000000001</v>
      </c>
      <c r="R233">
        <f t="shared" si="17"/>
        <v>0</v>
      </c>
      <c r="S233" t="str">
        <f t="shared" si="18"/>
        <v>Cash-Based</v>
      </c>
      <c r="T233" t="str">
        <f t="shared" si="19"/>
        <v>One-Time User</v>
      </c>
    </row>
    <row r="234" spans="1:20" ht="15.75" customHeight="1" x14ac:dyDescent="0.3">
      <c r="A234" s="2" t="s">
        <v>554</v>
      </c>
      <c r="B234" s="2">
        <v>674437</v>
      </c>
      <c r="C234" s="2" t="s">
        <v>555</v>
      </c>
      <c r="D234" s="2">
        <v>966380460400</v>
      </c>
      <c r="E234" s="2" t="s">
        <v>28</v>
      </c>
      <c r="F234" s="2" t="s">
        <v>216</v>
      </c>
      <c r="G234" s="2" t="s">
        <v>217</v>
      </c>
      <c r="H234" s="2" t="s">
        <v>70</v>
      </c>
      <c r="I234" s="2" t="s">
        <v>53</v>
      </c>
      <c r="J234" s="2">
        <v>470719.47</v>
      </c>
      <c r="K234" s="2" t="s">
        <v>23</v>
      </c>
      <c r="L234" s="3">
        <v>45203</v>
      </c>
      <c r="M234" s="2" t="s">
        <v>24</v>
      </c>
      <c r="N234" s="2">
        <v>1096698.1000000001</v>
      </c>
      <c r="O234" s="2" t="s">
        <v>25</v>
      </c>
      <c r="P234" s="5" t="str">
        <f t="shared" si="15"/>
        <v>2023-10</v>
      </c>
      <c r="Q234">
        <f t="shared" si="16"/>
        <v>470719.47</v>
      </c>
      <c r="R234">
        <f t="shared" si="17"/>
        <v>0</v>
      </c>
      <c r="S234" t="str">
        <f t="shared" si="18"/>
        <v>Digital</v>
      </c>
      <c r="T234" t="str">
        <f t="shared" si="19"/>
        <v>One-Time User</v>
      </c>
    </row>
    <row r="235" spans="1:20" ht="15.75" customHeight="1" x14ac:dyDescent="0.3">
      <c r="A235" s="2" t="s">
        <v>556</v>
      </c>
      <c r="B235" s="2">
        <v>941406</v>
      </c>
      <c r="C235" s="2" t="s">
        <v>557</v>
      </c>
      <c r="D235" s="2">
        <v>148789252268</v>
      </c>
      <c r="E235" s="2" t="s">
        <v>64</v>
      </c>
      <c r="F235" s="2" t="s">
        <v>166</v>
      </c>
      <c r="G235" s="2" t="s">
        <v>167</v>
      </c>
      <c r="H235" s="2" t="s">
        <v>67</v>
      </c>
      <c r="I235" s="2" t="s">
        <v>48</v>
      </c>
      <c r="J235" s="2">
        <v>229396.76</v>
      </c>
      <c r="K235" s="2" t="s">
        <v>39</v>
      </c>
      <c r="L235" s="3">
        <v>45295</v>
      </c>
      <c r="M235" s="2" t="s">
        <v>24</v>
      </c>
      <c r="N235" s="2">
        <v>1119253.7</v>
      </c>
      <c r="O235" s="2" t="s">
        <v>25</v>
      </c>
      <c r="P235" s="5" t="str">
        <f t="shared" si="15"/>
        <v>2024-01</v>
      </c>
      <c r="Q235">
        <f t="shared" si="16"/>
        <v>229396.76</v>
      </c>
      <c r="R235">
        <f t="shared" si="17"/>
        <v>0</v>
      </c>
      <c r="S235" t="str">
        <f t="shared" si="18"/>
        <v>Cash-Based</v>
      </c>
      <c r="T235" t="str">
        <f t="shared" si="19"/>
        <v>One-Time User</v>
      </c>
    </row>
    <row r="236" spans="1:20" ht="15.75" customHeight="1" x14ac:dyDescent="0.3">
      <c r="A236" s="2" t="s">
        <v>558</v>
      </c>
      <c r="B236" s="2">
        <v>112063</v>
      </c>
      <c r="C236" s="2" t="s">
        <v>559</v>
      </c>
      <c r="D236" s="2">
        <v>963159668295</v>
      </c>
      <c r="E236" s="2" t="s">
        <v>91</v>
      </c>
      <c r="F236" s="2" t="s">
        <v>130</v>
      </c>
      <c r="G236" s="2" t="s">
        <v>131</v>
      </c>
      <c r="H236" s="2" t="s">
        <v>67</v>
      </c>
      <c r="I236" s="2" t="s">
        <v>48</v>
      </c>
      <c r="J236" s="2">
        <v>263052.93</v>
      </c>
      <c r="K236" s="2" t="s">
        <v>98</v>
      </c>
      <c r="L236" s="3">
        <v>45367</v>
      </c>
      <c r="M236" s="2" t="s">
        <v>168</v>
      </c>
      <c r="N236" s="2">
        <v>2010231.74</v>
      </c>
      <c r="O236" s="2" t="s">
        <v>179</v>
      </c>
      <c r="P236" s="5" t="str">
        <f t="shared" si="15"/>
        <v>2024-03</v>
      </c>
      <c r="Q236">
        <f t="shared" si="16"/>
        <v>263052.93</v>
      </c>
      <c r="R236">
        <f t="shared" si="17"/>
        <v>1</v>
      </c>
      <c r="S236" t="str">
        <f t="shared" si="18"/>
        <v>Cash-Based</v>
      </c>
      <c r="T236" t="str">
        <f t="shared" si="19"/>
        <v>One-Time User</v>
      </c>
    </row>
    <row r="237" spans="1:20" ht="15.75" customHeight="1" x14ac:dyDescent="0.3">
      <c r="A237" s="2" t="s">
        <v>560</v>
      </c>
      <c r="B237" s="2">
        <v>167371</v>
      </c>
      <c r="C237" s="2" t="s">
        <v>561</v>
      </c>
      <c r="D237" s="2">
        <v>265003686340</v>
      </c>
      <c r="E237" s="2" t="s">
        <v>35</v>
      </c>
      <c r="F237" s="2" t="s">
        <v>60</v>
      </c>
      <c r="G237" s="2" t="s">
        <v>61</v>
      </c>
      <c r="H237" s="2" t="s">
        <v>21</v>
      </c>
      <c r="I237" s="2" t="s">
        <v>53</v>
      </c>
      <c r="J237" s="2">
        <v>343900.3</v>
      </c>
      <c r="K237" s="2" t="s">
        <v>49</v>
      </c>
      <c r="L237" s="3">
        <v>45576</v>
      </c>
      <c r="M237" s="2" t="s">
        <v>168</v>
      </c>
      <c r="N237" s="2">
        <v>1451827.9</v>
      </c>
      <c r="O237" s="2" t="s">
        <v>25</v>
      </c>
      <c r="P237" s="5" t="str">
        <f t="shared" si="15"/>
        <v>2024-10</v>
      </c>
      <c r="Q237">
        <f t="shared" si="16"/>
        <v>343900.3</v>
      </c>
      <c r="R237">
        <f t="shared" si="17"/>
        <v>0</v>
      </c>
      <c r="S237" t="str">
        <f t="shared" si="18"/>
        <v>Cash-Based</v>
      </c>
      <c r="T237" t="str">
        <f t="shared" si="19"/>
        <v>One-Time User</v>
      </c>
    </row>
    <row r="238" spans="1:20" ht="15.75" customHeight="1" x14ac:dyDescent="0.3">
      <c r="A238" s="2" t="s">
        <v>562</v>
      </c>
      <c r="B238" s="2">
        <v>163530</v>
      </c>
      <c r="C238" s="2" t="s">
        <v>563</v>
      </c>
      <c r="D238" s="2">
        <v>284903006756</v>
      </c>
      <c r="E238" s="2" t="s">
        <v>28</v>
      </c>
      <c r="F238" s="2" t="s">
        <v>150</v>
      </c>
      <c r="G238" s="2" t="s">
        <v>151</v>
      </c>
      <c r="H238" s="2" t="s">
        <v>21</v>
      </c>
      <c r="I238" s="2" t="s">
        <v>53</v>
      </c>
      <c r="J238" s="2">
        <v>141940.85999999999</v>
      </c>
      <c r="K238" s="2" t="s">
        <v>23</v>
      </c>
      <c r="L238" s="3">
        <v>45844</v>
      </c>
      <c r="M238" s="2" t="s">
        <v>50</v>
      </c>
      <c r="N238" s="2">
        <v>1414350.1</v>
      </c>
      <c r="O238" s="2" t="s">
        <v>25</v>
      </c>
      <c r="P238" s="5" t="str">
        <f t="shared" si="15"/>
        <v>2025-07</v>
      </c>
      <c r="Q238">
        <f t="shared" si="16"/>
        <v>141940.85999999999</v>
      </c>
      <c r="R238">
        <f t="shared" si="17"/>
        <v>0</v>
      </c>
      <c r="S238" t="str">
        <f t="shared" si="18"/>
        <v>Digital</v>
      </c>
      <c r="T238" t="str">
        <f t="shared" si="19"/>
        <v>One-Time User</v>
      </c>
    </row>
    <row r="239" spans="1:20" ht="15.75" customHeight="1" x14ac:dyDescent="0.3">
      <c r="A239" s="2" t="s">
        <v>564</v>
      </c>
      <c r="B239" s="2">
        <v>450272</v>
      </c>
      <c r="C239" s="2" t="s">
        <v>565</v>
      </c>
      <c r="D239" s="2">
        <v>193418652788</v>
      </c>
      <c r="E239" s="2" t="s">
        <v>28</v>
      </c>
      <c r="F239" s="2" t="s">
        <v>79</v>
      </c>
      <c r="G239" s="2" t="s">
        <v>80</v>
      </c>
      <c r="H239" s="2" t="s">
        <v>70</v>
      </c>
      <c r="I239" s="2" t="s">
        <v>22</v>
      </c>
      <c r="J239" s="2">
        <v>541143.80000000005</v>
      </c>
      <c r="K239" s="2" t="s">
        <v>49</v>
      </c>
      <c r="L239" s="3">
        <v>45663</v>
      </c>
      <c r="M239" s="2" t="s">
        <v>24</v>
      </c>
      <c r="N239" s="2">
        <v>1296566.75</v>
      </c>
      <c r="O239" s="2" t="s">
        <v>25</v>
      </c>
      <c r="P239" s="5" t="str">
        <f t="shared" si="15"/>
        <v>2025-01</v>
      </c>
      <c r="Q239">
        <f t="shared" si="16"/>
        <v>541143.80000000005</v>
      </c>
      <c r="R239">
        <f t="shared" si="17"/>
        <v>0</v>
      </c>
      <c r="S239" t="str">
        <f t="shared" si="18"/>
        <v>Cash-Based</v>
      </c>
      <c r="T239" t="str">
        <f t="shared" si="19"/>
        <v>One-Time User</v>
      </c>
    </row>
    <row r="240" spans="1:20" ht="15.75" customHeight="1" x14ac:dyDescent="0.3">
      <c r="A240" s="2" t="s">
        <v>566</v>
      </c>
      <c r="B240" s="2">
        <v>659251</v>
      </c>
      <c r="C240" s="2" t="s">
        <v>567</v>
      </c>
      <c r="D240" s="2">
        <v>431187283506</v>
      </c>
      <c r="E240" s="2" t="s">
        <v>91</v>
      </c>
      <c r="F240" s="2" t="s">
        <v>92</v>
      </c>
      <c r="G240" s="2" t="s">
        <v>93</v>
      </c>
      <c r="H240" s="2" t="s">
        <v>67</v>
      </c>
      <c r="I240" s="2" t="s">
        <v>48</v>
      </c>
      <c r="J240" s="2">
        <v>12025.06</v>
      </c>
      <c r="K240" s="2" t="s">
        <v>49</v>
      </c>
      <c r="L240" s="3">
        <v>45526</v>
      </c>
      <c r="M240" s="2" t="s">
        <v>168</v>
      </c>
      <c r="N240" s="2">
        <v>1203807.42</v>
      </c>
      <c r="O240" s="2" t="s">
        <v>25</v>
      </c>
      <c r="P240" s="5" t="str">
        <f t="shared" si="15"/>
        <v>2024-08</v>
      </c>
      <c r="Q240">
        <f t="shared" si="16"/>
        <v>12025.06</v>
      </c>
      <c r="R240">
        <f t="shared" si="17"/>
        <v>0</v>
      </c>
      <c r="S240" t="str">
        <f t="shared" si="18"/>
        <v>Cash-Based</v>
      </c>
      <c r="T240" t="str">
        <f t="shared" si="19"/>
        <v>One-Time User</v>
      </c>
    </row>
    <row r="241" spans="1:20" ht="15.75" customHeight="1" x14ac:dyDescent="0.3">
      <c r="A241" s="2" t="s">
        <v>568</v>
      </c>
      <c r="B241" s="2">
        <v>117469</v>
      </c>
      <c r="C241" s="2" t="s">
        <v>569</v>
      </c>
      <c r="D241" s="2">
        <v>145388855042</v>
      </c>
      <c r="E241" s="2" t="s">
        <v>64</v>
      </c>
      <c r="F241" s="2" t="s">
        <v>146</v>
      </c>
      <c r="G241" s="2" t="s">
        <v>147</v>
      </c>
      <c r="H241" s="2" t="s">
        <v>67</v>
      </c>
      <c r="I241" s="2" t="s">
        <v>38</v>
      </c>
      <c r="J241" s="2">
        <v>55705.38</v>
      </c>
      <c r="K241" s="2" t="s">
        <v>39</v>
      </c>
      <c r="L241" s="3">
        <v>45371</v>
      </c>
      <c r="M241" s="2" t="s">
        <v>24</v>
      </c>
      <c r="N241" s="2">
        <v>1599051.25</v>
      </c>
      <c r="O241" s="2" t="s">
        <v>25</v>
      </c>
      <c r="P241" s="5" t="str">
        <f t="shared" si="15"/>
        <v>2024-03</v>
      </c>
      <c r="Q241">
        <f t="shared" si="16"/>
        <v>-55705.38</v>
      </c>
      <c r="R241">
        <f t="shared" si="17"/>
        <v>0</v>
      </c>
      <c r="S241" t="str">
        <f t="shared" si="18"/>
        <v>Cash-Based</v>
      </c>
      <c r="T241" t="str">
        <f t="shared" si="19"/>
        <v>One-Time User</v>
      </c>
    </row>
    <row r="242" spans="1:20" ht="15.75" customHeight="1" x14ac:dyDescent="0.3">
      <c r="A242" s="2" t="s">
        <v>570</v>
      </c>
      <c r="B242" s="2">
        <v>725646</v>
      </c>
      <c r="C242" s="2" t="s">
        <v>571</v>
      </c>
      <c r="D242" s="2">
        <v>509479969038</v>
      </c>
      <c r="E242" s="2" t="s">
        <v>28</v>
      </c>
      <c r="F242" s="2" t="s">
        <v>29</v>
      </c>
      <c r="G242" s="2" t="s">
        <v>30</v>
      </c>
      <c r="H242" s="2" t="s">
        <v>70</v>
      </c>
      <c r="I242" s="2" t="s">
        <v>48</v>
      </c>
      <c r="J242" s="2">
        <v>259407.8</v>
      </c>
      <c r="K242" s="2" t="s">
        <v>23</v>
      </c>
      <c r="L242" s="3">
        <v>45556</v>
      </c>
      <c r="M242" s="2" t="s">
        <v>24</v>
      </c>
      <c r="N242" s="2">
        <v>1568771.1</v>
      </c>
      <c r="O242" s="2" t="s">
        <v>25</v>
      </c>
      <c r="P242" s="5" t="str">
        <f t="shared" si="15"/>
        <v>2024-09</v>
      </c>
      <c r="Q242">
        <f t="shared" si="16"/>
        <v>259407.8</v>
      </c>
      <c r="R242">
        <f t="shared" si="17"/>
        <v>0</v>
      </c>
      <c r="S242" t="str">
        <f t="shared" si="18"/>
        <v>Digital</v>
      </c>
      <c r="T242" t="str">
        <f t="shared" si="19"/>
        <v>One-Time User</v>
      </c>
    </row>
    <row r="243" spans="1:20" ht="15.75" customHeight="1" x14ac:dyDescent="0.3">
      <c r="A243" s="2" t="s">
        <v>572</v>
      </c>
      <c r="B243" s="2">
        <v>404602</v>
      </c>
      <c r="C243" s="2" t="s">
        <v>573</v>
      </c>
      <c r="D243" s="2">
        <v>580561786132</v>
      </c>
      <c r="E243" s="2" t="s">
        <v>64</v>
      </c>
      <c r="F243" s="2" t="s">
        <v>83</v>
      </c>
      <c r="G243" s="2" t="s">
        <v>84</v>
      </c>
      <c r="H243" s="2" t="s">
        <v>21</v>
      </c>
      <c r="I243" s="2" t="s">
        <v>53</v>
      </c>
      <c r="J243" s="2">
        <v>321922.8</v>
      </c>
      <c r="K243" s="2" t="s">
        <v>98</v>
      </c>
      <c r="L243" s="3">
        <v>45776</v>
      </c>
      <c r="M243" s="2" t="s">
        <v>24</v>
      </c>
      <c r="N243" s="2">
        <v>502408.24</v>
      </c>
      <c r="O243" s="2" t="s">
        <v>25</v>
      </c>
      <c r="P243" s="5" t="str">
        <f t="shared" si="15"/>
        <v>2025-04</v>
      </c>
      <c r="Q243">
        <f t="shared" si="16"/>
        <v>321922.8</v>
      </c>
      <c r="R243">
        <f t="shared" si="17"/>
        <v>0</v>
      </c>
      <c r="S243" t="str">
        <f t="shared" si="18"/>
        <v>Cash-Based</v>
      </c>
      <c r="T243" t="str">
        <f t="shared" si="19"/>
        <v>One-Time User</v>
      </c>
    </row>
    <row r="244" spans="1:20" ht="15.75" customHeight="1" x14ac:dyDescent="0.3">
      <c r="A244" s="2" t="s">
        <v>574</v>
      </c>
      <c r="B244" s="2">
        <v>725385</v>
      </c>
      <c r="C244" s="2" t="s">
        <v>575</v>
      </c>
      <c r="D244" s="2">
        <v>446588297457</v>
      </c>
      <c r="E244" s="2" t="s">
        <v>64</v>
      </c>
      <c r="F244" s="2" t="s">
        <v>65</v>
      </c>
      <c r="G244" s="2" t="s">
        <v>66</v>
      </c>
      <c r="H244" s="2" t="s">
        <v>67</v>
      </c>
      <c r="I244" s="2" t="s">
        <v>38</v>
      </c>
      <c r="J244" s="2">
        <v>136269.56</v>
      </c>
      <c r="K244" s="2" t="s">
        <v>39</v>
      </c>
      <c r="L244" s="3">
        <v>45403</v>
      </c>
      <c r="M244" s="2" t="s">
        <v>24</v>
      </c>
      <c r="N244" s="2">
        <v>995454.57999999984</v>
      </c>
      <c r="O244" s="2" t="s">
        <v>25</v>
      </c>
      <c r="P244" s="5" t="str">
        <f t="shared" si="15"/>
        <v>2024-04</v>
      </c>
      <c r="Q244">
        <f t="shared" si="16"/>
        <v>-136269.56</v>
      </c>
      <c r="R244">
        <f t="shared" si="17"/>
        <v>0</v>
      </c>
      <c r="S244" t="str">
        <f t="shared" si="18"/>
        <v>Cash-Based</v>
      </c>
      <c r="T244" t="str">
        <f t="shared" si="19"/>
        <v>One-Time User</v>
      </c>
    </row>
    <row r="245" spans="1:20" ht="15.75" customHeight="1" x14ac:dyDescent="0.3">
      <c r="A245" s="2" t="s">
        <v>576</v>
      </c>
      <c r="B245" s="2">
        <v>955961</v>
      </c>
      <c r="C245" s="2" t="s">
        <v>577</v>
      </c>
      <c r="D245" s="2">
        <v>702633425078</v>
      </c>
      <c r="E245" s="2" t="s">
        <v>28</v>
      </c>
      <c r="F245" s="2" t="s">
        <v>150</v>
      </c>
      <c r="G245" s="2" t="s">
        <v>151</v>
      </c>
      <c r="H245" s="2" t="s">
        <v>70</v>
      </c>
      <c r="I245" s="2" t="s">
        <v>48</v>
      </c>
      <c r="J245" s="2">
        <v>75538.210000000006</v>
      </c>
      <c r="K245" s="2" t="s">
        <v>32</v>
      </c>
      <c r="L245" s="3">
        <v>45249</v>
      </c>
      <c r="M245" s="2" t="s">
        <v>24</v>
      </c>
      <c r="N245" s="2">
        <v>328211.21000000002</v>
      </c>
      <c r="O245" s="2" t="s">
        <v>25</v>
      </c>
      <c r="P245" s="5" t="str">
        <f t="shared" si="15"/>
        <v>2023-11</v>
      </c>
      <c r="Q245">
        <f t="shared" si="16"/>
        <v>75538.210000000006</v>
      </c>
      <c r="R245">
        <f t="shared" si="17"/>
        <v>0</v>
      </c>
      <c r="S245" t="str">
        <f t="shared" si="18"/>
        <v>Cash-Based</v>
      </c>
      <c r="T245" t="str">
        <f t="shared" si="19"/>
        <v>One-Time User</v>
      </c>
    </row>
    <row r="246" spans="1:20" ht="15.75" customHeight="1" x14ac:dyDescent="0.3">
      <c r="A246" s="2" t="s">
        <v>578</v>
      </c>
      <c r="B246" s="2">
        <v>842640</v>
      </c>
      <c r="C246" s="2" t="s">
        <v>579</v>
      </c>
      <c r="D246" s="2">
        <v>380872047716</v>
      </c>
      <c r="E246" s="2" t="s">
        <v>28</v>
      </c>
      <c r="F246" s="2" t="s">
        <v>29</v>
      </c>
      <c r="G246" s="2" t="s">
        <v>30</v>
      </c>
      <c r="H246" s="2" t="s">
        <v>21</v>
      </c>
      <c r="I246" s="2" t="s">
        <v>48</v>
      </c>
      <c r="J246" s="2">
        <v>153277.59</v>
      </c>
      <c r="K246" s="2" t="s">
        <v>23</v>
      </c>
      <c r="L246" s="3">
        <v>45744</v>
      </c>
      <c r="M246" s="2" t="s">
        <v>50</v>
      </c>
      <c r="N246" s="2">
        <v>1216224.52</v>
      </c>
      <c r="O246" s="2" t="s">
        <v>25</v>
      </c>
      <c r="P246" s="5" t="str">
        <f t="shared" si="15"/>
        <v>2025-03</v>
      </c>
      <c r="Q246">
        <f t="shared" si="16"/>
        <v>153277.59</v>
      </c>
      <c r="R246">
        <f t="shared" si="17"/>
        <v>0</v>
      </c>
      <c r="S246" t="str">
        <f t="shared" si="18"/>
        <v>Digital</v>
      </c>
      <c r="T246" t="str">
        <f t="shared" si="19"/>
        <v>One-Time User</v>
      </c>
    </row>
    <row r="247" spans="1:20" ht="15.75" customHeight="1" x14ac:dyDescent="0.3">
      <c r="A247" s="2" t="s">
        <v>580</v>
      </c>
      <c r="B247" s="2">
        <v>658891</v>
      </c>
      <c r="C247" s="2" t="s">
        <v>581</v>
      </c>
      <c r="D247" s="2">
        <v>714751372463</v>
      </c>
      <c r="E247" s="2" t="s">
        <v>35</v>
      </c>
      <c r="F247" s="2" t="s">
        <v>73</v>
      </c>
      <c r="G247" s="2" t="s">
        <v>74</v>
      </c>
      <c r="H247" s="2" t="s">
        <v>31</v>
      </c>
      <c r="I247" s="2" t="s">
        <v>22</v>
      </c>
      <c r="J247" s="2">
        <v>218521.3</v>
      </c>
      <c r="K247" s="2" t="s">
        <v>32</v>
      </c>
      <c r="L247" s="3">
        <v>45795</v>
      </c>
      <c r="M247" s="2" t="s">
        <v>24</v>
      </c>
      <c r="N247" s="2">
        <v>963128.35000000009</v>
      </c>
      <c r="O247" s="2" t="s">
        <v>25</v>
      </c>
      <c r="P247" s="5" t="str">
        <f t="shared" si="15"/>
        <v>2025-05</v>
      </c>
      <c r="Q247">
        <f t="shared" si="16"/>
        <v>218521.3</v>
      </c>
      <c r="R247">
        <f t="shared" si="17"/>
        <v>0</v>
      </c>
      <c r="S247" t="str">
        <f t="shared" si="18"/>
        <v>Cash-Based</v>
      </c>
      <c r="T247" t="str">
        <f t="shared" si="19"/>
        <v>One-Time User</v>
      </c>
    </row>
    <row r="248" spans="1:20" ht="15.75" customHeight="1" x14ac:dyDescent="0.3">
      <c r="A248" s="2" t="s">
        <v>582</v>
      </c>
      <c r="B248" s="2">
        <v>760603</v>
      </c>
      <c r="C248" s="2" t="s">
        <v>583</v>
      </c>
      <c r="D248" s="2">
        <v>138839456678</v>
      </c>
      <c r="E248" s="2" t="s">
        <v>35</v>
      </c>
      <c r="F248" s="2" t="s">
        <v>60</v>
      </c>
      <c r="G248" s="2" t="s">
        <v>61</v>
      </c>
      <c r="H248" s="2" t="s">
        <v>70</v>
      </c>
      <c r="I248" s="2" t="s">
        <v>48</v>
      </c>
      <c r="J248" s="2">
        <v>217272.91</v>
      </c>
      <c r="K248" s="2" t="s">
        <v>98</v>
      </c>
      <c r="L248" s="3">
        <v>45609</v>
      </c>
      <c r="M248" s="2" t="s">
        <v>24</v>
      </c>
      <c r="N248" s="2">
        <v>2206115.66</v>
      </c>
      <c r="O248" s="2" t="s">
        <v>25</v>
      </c>
      <c r="P248" s="5" t="str">
        <f t="shared" si="15"/>
        <v>2024-11</v>
      </c>
      <c r="Q248">
        <f t="shared" si="16"/>
        <v>217272.91</v>
      </c>
      <c r="R248">
        <f t="shared" si="17"/>
        <v>0</v>
      </c>
      <c r="S248" t="str">
        <f t="shared" si="18"/>
        <v>Cash-Based</v>
      </c>
      <c r="T248" t="str">
        <f t="shared" si="19"/>
        <v>One-Time User</v>
      </c>
    </row>
    <row r="249" spans="1:20" ht="15.75" customHeight="1" x14ac:dyDescent="0.3">
      <c r="A249" s="2" t="s">
        <v>584</v>
      </c>
      <c r="B249" s="2">
        <v>433063</v>
      </c>
      <c r="C249" s="2" t="s">
        <v>585</v>
      </c>
      <c r="D249" s="2">
        <v>288046549982</v>
      </c>
      <c r="E249" s="2" t="s">
        <v>64</v>
      </c>
      <c r="F249" s="2" t="s">
        <v>177</v>
      </c>
      <c r="G249" s="2" t="s">
        <v>178</v>
      </c>
      <c r="H249" s="2" t="s">
        <v>67</v>
      </c>
      <c r="I249" s="2" t="s">
        <v>22</v>
      </c>
      <c r="J249" s="2">
        <v>143368.07999999999</v>
      </c>
      <c r="K249" s="2" t="s">
        <v>49</v>
      </c>
      <c r="L249" s="3">
        <v>45170</v>
      </c>
      <c r="M249" s="2" t="s">
        <v>24</v>
      </c>
      <c r="N249" s="2">
        <v>1521366.68</v>
      </c>
      <c r="O249" s="2" t="s">
        <v>25</v>
      </c>
      <c r="P249" s="5" t="str">
        <f t="shared" si="15"/>
        <v>2023-09</v>
      </c>
      <c r="Q249">
        <f t="shared" si="16"/>
        <v>143368.07999999999</v>
      </c>
      <c r="R249">
        <f t="shared" si="17"/>
        <v>0</v>
      </c>
      <c r="S249" t="str">
        <f t="shared" si="18"/>
        <v>Cash-Based</v>
      </c>
      <c r="T249" t="str">
        <f t="shared" si="19"/>
        <v>One-Time User</v>
      </c>
    </row>
    <row r="250" spans="1:20" ht="15.75" customHeight="1" x14ac:dyDescent="0.3">
      <c r="A250" s="2" t="s">
        <v>586</v>
      </c>
      <c r="B250" s="2">
        <v>672763</v>
      </c>
      <c r="C250" s="2" t="s">
        <v>587</v>
      </c>
      <c r="D250" s="2">
        <v>387905519517</v>
      </c>
      <c r="E250" s="2" t="s">
        <v>64</v>
      </c>
      <c r="F250" s="2" t="s">
        <v>166</v>
      </c>
      <c r="G250" s="2" t="s">
        <v>167</v>
      </c>
      <c r="H250" s="2" t="s">
        <v>21</v>
      </c>
      <c r="I250" s="2" t="s">
        <v>38</v>
      </c>
      <c r="J250" s="2">
        <v>130031.31</v>
      </c>
      <c r="K250" s="2" t="s">
        <v>23</v>
      </c>
      <c r="L250" s="3">
        <v>45619</v>
      </c>
      <c r="M250" s="2" t="s">
        <v>24</v>
      </c>
      <c r="N250" s="2">
        <v>429077.61</v>
      </c>
      <c r="O250" s="2" t="s">
        <v>25</v>
      </c>
      <c r="P250" s="5" t="str">
        <f t="shared" si="15"/>
        <v>2024-11</v>
      </c>
      <c r="Q250">
        <f t="shared" si="16"/>
        <v>-130031.31</v>
      </c>
      <c r="R250">
        <f t="shared" si="17"/>
        <v>0</v>
      </c>
      <c r="S250" t="str">
        <f t="shared" si="18"/>
        <v>Digital</v>
      </c>
      <c r="T250" t="str">
        <f t="shared" si="19"/>
        <v>One-Time User</v>
      </c>
    </row>
    <row r="251" spans="1:20" ht="15.75" customHeight="1" x14ac:dyDescent="0.3">
      <c r="A251" s="2" t="s">
        <v>588</v>
      </c>
      <c r="B251" s="2">
        <v>833709</v>
      </c>
      <c r="C251" s="2" t="s">
        <v>589</v>
      </c>
      <c r="D251" s="2">
        <v>195214730525</v>
      </c>
      <c r="E251" s="2" t="s">
        <v>35</v>
      </c>
      <c r="F251" s="2" t="s">
        <v>73</v>
      </c>
      <c r="G251" s="2" t="s">
        <v>74</v>
      </c>
      <c r="H251" s="2" t="s">
        <v>21</v>
      </c>
      <c r="I251" s="2" t="s">
        <v>22</v>
      </c>
      <c r="J251" s="2">
        <v>376737.14</v>
      </c>
      <c r="K251" s="2" t="s">
        <v>49</v>
      </c>
      <c r="L251" s="3">
        <v>45560</v>
      </c>
      <c r="M251" s="2" t="s">
        <v>24</v>
      </c>
      <c r="N251" s="2">
        <v>2046300.22</v>
      </c>
      <c r="O251" s="2" t="s">
        <v>25</v>
      </c>
      <c r="P251" s="5" t="str">
        <f t="shared" si="15"/>
        <v>2024-09</v>
      </c>
      <c r="Q251">
        <f t="shared" si="16"/>
        <v>376737.14</v>
      </c>
      <c r="R251">
        <f t="shared" si="17"/>
        <v>0</v>
      </c>
      <c r="S251" t="str">
        <f t="shared" si="18"/>
        <v>Cash-Based</v>
      </c>
      <c r="T251" t="str">
        <f t="shared" si="19"/>
        <v>One-Time User</v>
      </c>
    </row>
    <row r="252" spans="1:20" ht="15.75" customHeight="1" x14ac:dyDescent="0.3">
      <c r="A252" s="2" t="s">
        <v>590</v>
      </c>
      <c r="B252" s="2">
        <v>730030</v>
      </c>
      <c r="C252" s="2" t="s">
        <v>591</v>
      </c>
      <c r="D252" s="2">
        <v>937325765058</v>
      </c>
      <c r="E252" s="2" t="s">
        <v>35</v>
      </c>
      <c r="F252" s="2" t="s">
        <v>60</v>
      </c>
      <c r="G252" s="2" t="s">
        <v>61</v>
      </c>
      <c r="H252" s="2" t="s">
        <v>31</v>
      </c>
      <c r="I252" s="2" t="s">
        <v>48</v>
      </c>
      <c r="J252" s="2">
        <v>32866.42</v>
      </c>
      <c r="K252" s="2" t="s">
        <v>98</v>
      </c>
      <c r="L252" s="3">
        <v>45481</v>
      </c>
      <c r="M252" s="2" t="s">
        <v>24</v>
      </c>
      <c r="N252" s="2">
        <v>1682102.9</v>
      </c>
      <c r="O252" s="2" t="s">
        <v>25</v>
      </c>
      <c r="P252" s="5" t="str">
        <f t="shared" si="15"/>
        <v>2024-07</v>
      </c>
      <c r="Q252">
        <f t="shared" si="16"/>
        <v>32866.42</v>
      </c>
      <c r="R252">
        <f t="shared" si="17"/>
        <v>0</v>
      </c>
      <c r="S252" t="str">
        <f t="shared" si="18"/>
        <v>Cash-Based</v>
      </c>
      <c r="T252" t="str">
        <f t="shared" si="19"/>
        <v>One-Time User</v>
      </c>
    </row>
    <row r="253" spans="1:20" ht="15.75" customHeight="1" x14ac:dyDescent="0.3">
      <c r="A253" s="2" t="s">
        <v>592</v>
      </c>
      <c r="B253" s="2">
        <v>973241</v>
      </c>
      <c r="C253" s="2" t="s">
        <v>593</v>
      </c>
      <c r="D253" s="2">
        <v>387860643996</v>
      </c>
      <c r="E253" s="2" t="s">
        <v>18</v>
      </c>
      <c r="F253" s="2" t="s">
        <v>19</v>
      </c>
      <c r="G253" s="2" t="s">
        <v>20</v>
      </c>
      <c r="H253" s="2" t="s">
        <v>21</v>
      </c>
      <c r="I253" s="2" t="s">
        <v>38</v>
      </c>
      <c r="J253" s="2">
        <v>7697.03</v>
      </c>
      <c r="K253" s="2" t="s">
        <v>49</v>
      </c>
      <c r="L253" s="3">
        <v>45414</v>
      </c>
      <c r="M253" s="2" t="s">
        <v>24</v>
      </c>
      <c r="N253" s="2">
        <v>1549364.71</v>
      </c>
      <c r="O253" s="2" t="s">
        <v>25</v>
      </c>
      <c r="P253" s="5" t="str">
        <f t="shared" si="15"/>
        <v>2024-05</v>
      </c>
      <c r="Q253">
        <f t="shared" si="16"/>
        <v>-7697.03</v>
      </c>
      <c r="R253">
        <f t="shared" si="17"/>
        <v>0</v>
      </c>
      <c r="S253" t="str">
        <f t="shared" si="18"/>
        <v>Cash-Based</v>
      </c>
      <c r="T253" t="str">
        <f t="shared" si="19"/>
        <v>One-Time User</v>
      </c>
    </row>
    <row r="254" spans="1:20" ht="15.75" customHeight="1" x14ac:dyDescent="0.3">
      <c r="A254" s="2" t="s">
        <v>594</v>
      </c>
      <c r="B254" s="2">
        <v>700274</v>
      </c>
      <c r="C254" s="2" t="s">
        <v>595</v>
      </c>
      <c r="D254" s="2">
        <v>780371569610</v>
      </c>
      <c r="E254" s="2" t="s">
        <v>18</v>
      </c>
      <c r="F254" s="2" t="s">
        <v>19</v>
      </c>
      <c r="G254" s="2" t="s">
        <v>20</v>
      </c>
      <c r="H254" s="2" t="s">
        <v>70</v>
      </c>
      <c r="I254" s="2" t="s">
        <v>38</v>
      </c>
      <c r="J254" s="2">
        <v>131363.76999999999</v>
      </c>
      <c r="K254" s="2" t="s">
        <v>23</v>
      </c>
      <c r="L254" s="3">
        <v>45118</v>
      </c>
      <c r="M254" s="2" t="s">
        <v>50</v>
      </c>
      <c r="N254" s="2">
        <v>1790482.77</v>
      </c>
      <c r="O254" s="2" t="s">
        <v>25</v>
      </c>
      <c r="P254" s="5" t="str">
        <f t="shared" si="15"/>
        <v>2023-07</v>
      </c>
      <c r="Q254">
        <f t="shared" si="16"/>
        <v>-131363.76999999999</v>
      </c>
      <c r="R254">
        <f t="shared" si="17"/>
        <v>0</v>
      </c>
      <c r="S254" t="str">
        <f t="shared" si="18"/>
        <v>Digital</v>
      </c>
      <c r="T254" t="str">
        <f t="shared" si="19"/>
        <v>One-Time User</v>
      </c>
    </row>
    <row r="255" spans="1:20" ht="15.75" customHeight="1" x14ac:dyDescent="0.3">
      <c r="A255" s="2" t="s">
        <v>596</v>
      </c>
      <c r="B255" s="2">
        <v>585434</v>
      </c>
      <c r="C255" s="2" t="s">
        <v>597</v>
      </c>
      <c r="D255" s="2">
        <v>422791292913</v>
      </c>
      <c r="E255" s="2" t="s">
        <v>91</v>
      </c>
      <c r="F255" s="2" t="s">
        <v>109</v>
      </c>
      <c r="G255" s="2" t="s">
        <v>110</v>
      </c>
      <c r="H255" s="2" t="s">
        <v>70</v>
      </c>
      <c r="I255" s="2" t="s">
        <v>48</v>
      </c>
      <c r="J255" s="2">
        <v>197351.19</v>
      </c>
      <c r="K255" s="2" t="s">
        <v>23</v>
      </c>
      <c r="L255" s="3">
        <v>45413</v>
      </c>
      <c r="M255" s="2" t="s">
        <v>24</v>
      </c>
      <c r="N255" s="2">
        <v>735561.71</v>
      </c>
      <c r="O255" s="2" t="s">
        <v>25</v>
      </c>
      <c r="P255" s="5" t="str">
        <f t="shared" si="15"/>
        <v>2024-05</v>
      </c>
      <c r="Q255">
        <f t="shared" si="16"/>
        <v>197351.19</v>
      </c>
      <c r="R255">
        <f t="shared" si="17"/>
        <v>0</v>
      </c>
      <c r="S255" t="str">
        <f t="shared" si="18"/>
        <v>Digital</v>
      </c>
      <c r="T255" t="str">
        <f t="shared" si="19"/>
        <v>One-Time User</v>
      </c>
    </row>
    <row r="256" spans="1:20" ht="15.75" customHeight="1" x14ac:dyDescent="0.3">
      <c r="A256" s="2" t="s">
        <v>598</v>
      </c>
      <c r="B256" s="2">
        <v>709387</v>
      </c>
      <c r="C256" s="2" t="s">
        <v>599</v>
      </c>
      <c r="D256" s="2">
        <v>685617653836</v>
      </c>
      <c r="E256" s="2" t="s">
        <v>18</v>
      </c>
      <c r="F256" s="2" t="s">
        <v>19</v>
      </c>
      <c r="G256" s="2" t="s">
        <v>20</v>
      </c>
      <c r="H256" s="2" t="s">
        <v>21</v>
      </c>
      <c r="I256" s="2" t="s">
        <v>38</v>
      </c>
      <c r="J256" s="2">
        <v>116639.17</v>
      </c>
      <c r="K256" s="2" t="s">
        <v>49</v>
      </c>
      <c r="L256" s="3">
        <v>45416</v>
      </c>
      <c r="M256" s="2" t="s">
        <v>24</v>
      </c>
      <c r="N256" s="2">
        <v>583495.13</v>
      </c>
      <c r="O256" s="2" t="s">
        <v>25</v>
      </c>
      <c r="P256" s="5" t="str">
        <f t="shared" si="15"/>
        <v>2024-05</v>
      </c>
      <c r="Q256">
        <f t="shared" si="16"/>
        <v>-116639.17</v>
      </c>
      <c r="R256">
        <f t="shared" si="17"/>
        <v>0</v>
      </c>
      <c r="S256" t="str">
        <f t="shared" si="18"/>
        <v>Cash-Based</v>
      </c>
      <c r="T256" t="str">
        <f t="shared" si="19"/>
        <v>One-Time User</v>
      </c>
    </row>
    <row r="257" spans="1:20" ht="15.75" customHeight="1" x14ac:dyDescent="0.3">
      <c r="A257" s="2" t="s">
        <v>600</v>
      </c>
      <c r="B257" s="2">
        <v>545452</v>
      </c>
      <c r="C257" s="2" t="s">
        <v>601</v>
      </c>
      <c r="D257" s="2">
        <v>869888869752</v>
      </c>
      <c r="E257" s="2" t="s">
        <v>35</v>
      </c>
      <c r="F257" s="2" t="s">
        <v>136</v>
      </c>
      <c r="G257" s="2" t="s">
        <v>137</v>
      </c>
      <c r="H257" s="2" t="s">
        <v>21</v>
      </c>
      <c r="I257" s="2" t="s">
        <v>48</v>
      </c>
      <c r="J257" s="2">
        <v>79661.36</v>
      </c>
      <c r="K257" s="2" t="s">
        <v>23</v>
      </c>
      <c r="L257" s="3">
        <v>45577</v>
      </c>
      <c r="M257" s="2" t="s">
        <v>24</v>
      </c>
      <c r="N257" s="2">
        <v>810409.84</v>
      </c>
      <c r="O257" s="2" t="s">
        <v>25</v>
      </c>
      <c r="P257" s="5" t="str">
        <f t="shared" si="15"/>
        <v>2024-10</v>
      </c>
      <c r="Q257">
        <f t="shared" si="16"/>
        <v>79661.36</v>
      </c>
      <c r="R257">
        <f t="shared" si="17"/>
        <v>0</v>
      </c>
      <c r="S257" t="str">
        <f t="shared" si="18"/>
        <v>Digital</v>
      </c>
      <c r="T257" t="str">
        <f t="shared" si="19"/>
        <v>One-Time User</v>
      </c>
    </row>
    <row r="258" spans="1:20" ht="15.75" customHeight="1" x14ac:dyDescent="0.3">
      <c r="A258" s="2" t="s">
        <v>602</v>
      </c>
      <c r="B258" s="2">
        <v>809306</v>
      </c>
      <c r="C258" s="2" t="s">
        <v>603</v>
      </c>
      <c r="D258" s="2">
        <v>317906843145</v>
      </c>
      <c r="E258" s="2" t="s">
        <v>35</v>
      </c>
      <c r="F258" s="2" t="s">
        <v>42</v>
      </c>
      <c r="G258" s="2" t="s">
        <v>43</v>
      </c>
      <c r="H258" s="2" t="s">
        <v>67</v>
      </c>
      <c r="I258" s="2" t="s">
        <v>38</v>
      </c>
      <c r="J258" s="2">
        <v>75168.06</v>
      </c>
      <c r="K258" s="2" t="s">
        <v>49</v>
      </c>
      <c r="L258" s="3">
        <v>45551</v>
      </c>
      <c r="M258" s="2" t="s">
        <v>24</v>
      </c>
      <c r="N258" s="2">
        <v>45789.930000000008</v>
      </c>
      <c r="O258" s="2" t="s">
        <v>25</v>
      </c>
      <c r="P258" s="5" t="str">
        <f t="shared" si="15"/>
        <v>2024-09</v>
      </c>
      <c r="Q258">
        <f t="shared" si="16"/>
        <v>-75168.06</v>
      </c>
      <c r="R258">
        <f t="shared" si="17"/>
        <v>0</v>
      </c>
      <c r="S258" t="str">
        <f t="shared" si="18"/>
        <v>Cash-Based</v>
      </c>
      <c r="T258" t="str">
        <f t="shared" si="19"/>
        <v>One-Time User</v>
      </c>
    </row>
    <row r="259" spans="1:20" ht="15.75" customHeight="1" x14ac:dyDescent="0.3">
      <c r="A259" s="2" t="s">
        <v>604</v>
      </c>
      <c r="B259" s="2">
        <v>411009</v>
      </c>
      <c r="C259" s="2" t="s">
        <v>605</v>
      </c>
      <c r="D259" s="2">
        <v>746074720789</v>
      </c>
      <c r="E259" s="2" t="s">
        <v>64</v>
      </c>
      <c r="F259" s="2" t="s">
        <v>177</v>
      </c>
      <c r="G259" s="2" t="s">
        <v>178</v>
      </c>
      <c r="H259" s="2" t="s">
        <v>31</v>
      </c>
      <c r="I259" s="2" t="s">
        <v>48</v>
      </c>
      <c r="J259" s="2">
        <v>129733.4</v>
      </c>
      <c r="K259" s="2" t="s">
        <v>32</v>
      </c>
      <c r="L259" s="3">
        <v>45252</v>
      </c>
      <c r="M259" s="2" t="s">
        <v>24</v>
      </c>
      <c r="N259" s="2">
        <v>872645.98</v>
      </c>
      <c r="O259" s="2" t="s">
        <v>25</v>
      </c>
      <c r="P259" s="5" t="str">
        <f t="shared" ref="P259:P322" si="20">TEXT(L259,"yyyy-mm")</f>
        <v>2023-11</v>
      </c>
      <c r="Q259">
        <f t="shared" ref="Q259:Q322" si="21">IF(I259="Withdrawal",-J259,J259)</f>
        <v>129733.4</v>
      </c>
      <c r="R259">
        <f t="shared" ref="R259:R322" si="22">IF(O259="Yes",1,0)</f>
        <v>0</v>
      </c>
      <c r="S259" t="str">
        <f t="shared" ref="S259:S322" si="23">IF(OR(K259="ATM",K259="Mobile App",K259="UPI"),"Digital",IF(K259="Branch","Branch-Driven","Cash-Based"))</f>
        <v>Cash-Based</v>
      </c>
      <c r="T259" t="str">
        <f t="shared" ref="T259:T322" si="24">IF(COUNTIF($C:$C,C259)&gt;1,"Frequent Transactor","One-Time User")</f>
        <v>One-Time User</v>
      </c>
    </row>
    <row r="260" spans="1:20" ht="15.75" customHeight="1" x14ac:dyDescent="0.3">
      <c r="A260" s="2" t="s">
        <v>606</v>
      </c>
      <c r="B260" s="2">
        <v>704096</v>
      </c>
      <c r="C260" s="2" t="s">
        <v>607</v>
      </c>
      <c r="D260" s="2">
        <v>801626913319</v>
      </c>
      <c r="E260" s="2" t="s">
        <v>91</v>
      </c>
      <c r="F260" s="2" t="s">
        <v>105</v>
      </c>
      <c r="G260" s="2" t="s">
        <v>106</v>
      </c>
      <c r="H260" s="2" t="s">
        <v>70</v>
      </c>
      <c r="I260" s="2" t="s">
        <v>53</v>
      </c>
      <c r="J260" s="2">
        <v>59283.4</v>
      </c>
      <c r="K260" s="2" t="s">
        <v>98</v>
      </c>
      <c r="L260" s="3">
        <v>45602</v>
      </c>
      <c r="M260" s="2" t="s">
        <v>24</v>
      </c>
      <c r="N260" s="2">
        <v>698051.12</v>
      </c>
      <c r="O260" s="2" t="s">
        <v>25</v>
      </c>
      <c r="P260" s="5" t="str">
        <f t="shared" si="20"/>
        <v>2024-11</v>
      </c>
      <c r="Q260">
        <f t="shared" si="21"/>
        <v>59283.4</v>
      </c>
      <c r="R260">
        <f t="shared" si="22"/>
        <v>0</v>
      </c>
      <c r="S260" t="str">
        <f t="shared" si="23"/>
        <v>Cash-Based</v>
      </c>
      <c r="T260" t="str">
        <f t="shared" si="24"/>
        <v>One-Time User</v>
      </c>
    </row>
    <row r="261" spans="1:20" ht="15.75" customHeight="1" x14ac:dyDescent="0.3">
      <c r="A261" s="2" t="s">
        <v>608</v>
      </c>
      <c r="B261" s="2">
        <v>430975</v>
      </c>
      <c r="C261" s="2" t="s">
        <v>609</v>
      </c>
      <c r="D261" s="2">
        <v>552928908176</v>
      </c>
      <c r="E261" s="2" t="s">
        <v>35</v>
      </c>
      <c r="F261" s="2" t="s">
        <v>36</v>
      </c>
      <c r="G261" s="2" t="s">
        <v>37</v>
      </c>
      <c r="H261" s="2" t="s">
        <v>67</v>
      </c>
      <c r="I261" s="2" t="s">
        <v>48</v>
      </c>
      <c r="J261" s="2">
        <v>157373.9</v>
      </c>
      <c r="K261" s="2" t="s">
        <v>98</v>
      </c>
      <c r="L261" s="3">
        <v>45240</v>
      </c>
      <c r="M261" s="2" t="s">
        <v>168</v>
      </c>
      <c r="N261" s="2">
        <v>519917.55</v>
      </c>
      <c r="O261" s="2" t="s">
        <v>25</v>
      </c>
      <c r="P261" s="5" t="str">
        <f t="shared" si="20"/>
        <v>2023-11</v>
      </c>
      <c r="Q261">
        <f t="shared" si="21"/>
        <v>157373.9</v>
      </c>
      <c r="R261">
        <f t="shared" si="22"/>
        <v>0</v>
      </c>
      <c r="S261" t="str">
        <f t="shared" si="23"/>
        <v>Cash-Based</v>
      </c>
      <c r="T261" t="str">
        <f t="shared" si="24"/>
        <v>One-Time User</v>
      </c>
    </row>
    <row r="262" spans="1:20" ht="15.75" customHeight="1" x14ac:dyDescent="0.3">
      <c r="A262" s="2" t="s">
        <v>610</v>
      </c>
      <c r="B262" s="2">
        <v>675778</v>
      </c>
      <c r="C262" s="2" t="s">
        <v>611</v>
      </c>
      <c r="D262" s="2">
        <v>825799561602</v>
      </c>
      <c r="E262" s="2" t="s">
        <v>35</v>
      </c>
      <c r="F262" s="2" t="s">
        <v>42</v>
      </c>
      <c r="G262" s="2" t="s">
        <v>43</v>
      </c>
      <c r="H262" s="2" t="s">
        <v>70</v>
      </c>
      <c r="I262" s="2" t="s">
        <v>53</v>
      </c>
      <c r="J262" s="2">
        <v>395398.6</v>
      </c>
      <c r="K262" s="2" t="s">
        <v>49</v>
      </c>
      <c r="L262" s="3">
        <v>45214</v>
      </c>
      <c r="M262" s="2" t="s">
        <v>24</v>
      </c>
      <c r="N262" s="2">
        <v>1093605.24</v>
      </c>
      <c r="O262" s="2" t="s">
        <v>25</v>
      </c>
      <c r="P262" s="5" t="str">
        <f t="shared" si="20"/>
        <v>2023-10</v>
      </c>
      <c r="Q262">
        <f t="shared" si="21"/>
        <v>395398.6</v>
      </c>
      <c r="R262">
        <f t="shared" si="22"/>
        <v>0</v>
      </c>
      <c r="S262" t="str">
        <f t="shared" si="23"/>
        <v>Cash-Based</v>
      </c>
      <c r="T262" t="str">
        <f t="shared" si="24"/>
        <v>One-Time User</v>
      </c>
    </row>
    <row r="263" spans="1:20" ht="15.75" customHeight="1" x14ac:dyDescent="0.3">
      <c r="A263" s="2" t="s">
        <v>612</v>
      </c>
      <c r="B263" s="2">
        <v>103977</v>
      </c>
      <c r="C263" s="2" t="s">
        <v>613</v>
      </c>
      <c r="D263" s="2">
        <v>355613348806</v>
      </c>
      <c r="E263" s="2" t="s">
        <v>91</v>
      </c>
      <c r="F263" s="2" t="s">
        <v>92</v>
      </c>
      <c r="G263" s="2" t="s">
        <v>93</v>
      </c>
      <c r="H263" s="2" t="s">
        <v>70</v>
      </c>
      <c r="I263" s="2" t="s">
        <v>48</v>
      </c>
      <c r="J263" s="2">
        <v>92274.06</v>
      </c>
      <c r="K263" s="2" t="s">
        <v>39</v>
      </c>
      <c r="L263" s="3">
        <v>45666</v>
      </c>
      <c r="M263" s="2" t="s">
        <v>24</v>
      </c>
      <c r="N263" s="2">
        <v>1309267.04</v>
      </c>
      <c r="O263" s="2" t="s">
        <v>25</v>
      </c>
      <c r="P263" s="5" t="str">
        <f t="shared" si="20"/>
        <v>2025-01</v>
      </c>
      <c r="Q263">
        <f t="shared" si="21"/>
        <v>92274.06</v>
      </c>
      <c r="R263">
        <f t="shared" si="22"/>
        <v>0</v>
      </c>
      <c r="S263" t="str">
        <f t="shared" si="23"/>
        <v>Cash-Based</v>
      </c>
      <c r="T263" t="str">
        <f t="shared" si="24"/>
        <v>One-Time User</v>
      </c>
    </row>
    <row r="264" spans="1:20" ht="15.75" customHeight="1" x14ac:dyDescent="0.3">
      <c r="A264" s="2" t="s">
        <v>614</v>
      </c>
      <c r="B264" s="2">
        <v>749572</v>
      </c>
      <c r="C264" s="2" t="s">
        <v>615</v>
      </c>
      <c r="D264" s="2">
        <v>206600196087</v>
      </c>
      <c r="E264" s="2" t="s">
        <v>64</v>
      </c>
      <c r="F264" s="2" t="s">
        <v>83</v>
      </c>
      <c r="G264" s="2" t="s">
        <v>84</v>
      </c>
      <c r="H264" s="2" t="s">
        <v>70</v>
      </c>
      <c r="I264" s="2" t="s">
        <v>53</v>
      </c>
      <c r="J264" s="2">
        <v>199776.68</v>
      </c>
      <c r="K264" s="2" t="s">
        <v>23</v>
      </c>
      <c r="L264" s="3">
        <v>45240</v>
      </c>
      <c r="M264" s="2" t="s">
        <v>24</v>
      </c>
      <c r="N264" s="2">
        <v>1633607.23</v>
      </c>
      <c r="O264" s="2" t="s">
        <v>25</v>
      </c>
      <c r="P264" s="5" t="str">
        <f t="shared" si="20"/>
        <v>2023-11</v>
      </c>
      <c r="Q264">
        <f t="shared" si="21"/>
        <v>199776.68</v>
      </c>
      <c r="R264">
        <f t="shared" si="22"/>
        <v>0</v>
      </c>
      <c r="S264" t="str">
        <f t="shared" si="23"/>
        <v>Digital</v>
      </c>
      <c r="T264" t="str">
        <f t="shared" si="24"/>
        <v>One-Time User</v>
      </c>
    </row>
    <row r="265" spans="1:20" ht="15.75" customHeight="1" x14ac:dyDescent="0.3">
      <c r="A265" s="2" t="s">
        <v>616</v>
      </c>
      <c r="B265" s="2">
        <v>563828</v>
      </c>
      <c r="C265" s="2" t="s">
        <v>617</v>
      </c>
      <c r="D265" s="2">
        <v>124054946791</v>
      </c>
      <c r="E265" s="2" t="s">
        <v>18</v>
      </c>
      <c r="F265" s="2" t="s">
        <v>46</v>
      </c>
      <c r="G265" s="2" t="s">
        <v>47</v>
      </c>
      <c r="H265" s="2" t="s">
        <v>67</v>
      </c>
      <c r="I265" s="2" t="s">
        <v>48</v>
      </c>
      <c r="J265" s="2">
        <v>284384.93</v>
      </c>
      <c r="K265" s="2" t="s">
        <v>98</v>
      </c>
      <c r="L265" s="3">
        <v>45362</v>
      </c>
      <c r="M265" s="2" t="s">
        <v>24</v>
      </c>
      <c r="N265" s="2">
        <v>840176.1399999999</v>
      </c>
      <c r="O265" s="2" t="s">
        <v>25</v>
      </c>
      <c r="P265" s="5" t="str">
        <f t="shared" si="20"/>
        <v>2024-03</v>
      </c>
      <c r="Q265">
        <f t="shared" si="21"/>
        <v>284384.93</v>
      </c>
      <c r="R265">
        <f t="shared" si="22"/>
        <v>0</v>
      </c>
      <c r="S265" t="str">
        <f t="shared" si="23"/>
        <v>Cash-Based</v>
      </c>
      <c r="T265" t="str">
        <f t="shared" si="24"/>
        <v>One-Time User</v>
      </c>
    </row>
    <row r="266" spans="1:20" ht="15.75" customHeight="1" x14ac:dyDescent="0.3">
      <c r="A266" s="2" t="s">
        <v>618</v>
      </c>
      <c r="B266" s="2">
        <v>731100</v>
      </c>
      <c r="C266" s="2" t="s">
        <v>619</v>
      </c>
      <c r="D266" s="2">
        <v>262964581056</v>
      </c>
      <c r="E266" s="2" t="s">
        <v>35</v>
      </c>
      <c r="F266" s="2" t="s">
        <v>36</v>
      </c>
      <c r="G266" s="2" t="s">
        <v>37</v>
      </c>
      <c r="H266" s="2" t="s">
        <v>21</v>
      </c>
      <c r="I266" s="2" t="s">
        <v>48</v>
      </c>
      <c r="J266" s="2">
        <v>98228.26</v>
      </c>
      <c r="K266" s="2" t="s">
        <v>39</v>
      </c>
      <c r="L266" s="3">
        <v>45327</v>
      </c>
      <c r="M266" s="2" t="s">
        <v>24</v>
      </c>
      <c r="N266" s="2">
        <v>642282.19999999995</v>
      </c>
      <c r="O266" s="2" t="s">
        <v>25</v>
      </c>
      <c r="P266" s="5" t="str">
        <f t="shared" si="20"/>
        <v>2024-02</v>
      </c>
      <c r="Q266">
        <f t="shared" si="21"/>
        <v>98228.26</v>
      </c>
      <c r="R266">
        <f t="shared" si="22"/>
        <v>0</v>
      </c>
      <c r="S266" t="str">
        <f t="shared" si="23"/>
        <v>Cash-Based</v>
      </c>
      <c r="T266" t="str">
        <f t="shared" si="24"/>
        <v>One-Time User</v>
      </c>
    </row>
    <row r="267" spans="1:20" ht="15.75" customHeight="1" x14ac:dyDescent="0.3">
      <c r="A267" s="2" t="s">
        <v>620</v>
      </c>
      <c r="B267" s="2">
        <v>156081</v>
      </c>
      <c r="C267" s="2" t="s">
        <v>621</v>
      </c>
      <c r="D267" s="2">
        <v>211489234529</v>
      </c>
      <c r="E267" s="2" t="s">
        <v>28</v>
      </c>
      <c r="F267" s="2" t="s">
        <v>192</v>
      </c>
      <c r="G267" s="2" t="s">
        <v>193</v>
      </c>
      <c r="H267" s="2" t="s">
        <v>31</v>
      </c>
      <c r="I267" s="2" t="s">
        <v>38</v>
      </c>
      <c r="J267" s="2">
        <v>115176.64</v>
      </c>
      <c r="K267" s="2" t="s">
        <v>32</v>
      </c>
      <c r="L267" s="3">
        <v>45139</v>
      </c>
      <c r="M267" s="2" t="s">
        <v>113</v>
      </c>
      <c r="N267" s="2">
        <v>1728716.25</v>
      </c>
      <c r="O267" s="2" t="s">
        <v>25</v>
      </c>
      <c r="P267" s="5" t="str">
        <f t="shared" si="20"/>
        <v>2023-08</v>
      </c>
      <c r="Q267">
        <f t="shared" si="21"/>
        <v>-115176.64</v>
      </c>
      <c r="R267">
        <f t="shared" si="22"/>
        <v>0</v>
      </c>
      <c r="S267" t="str">
        <f t="shared" si="23"/>
        <v>Cash-Based</v>
      </c>
      <c r="T267" t="str">
        <f t="shared" si="24"/>
        <v>One-Time User</v>
      </c>
    </row>
    <row r="268" spans="1:20" ht="15.75" customHeight="1" x14ac:dyDescent="0.3">
      <c r="A268" s="2" t="s">
        <v>622</v>
      </c>
      <c r="B268" s="2">
        <v>776252</v>
      </c>
      <c r="C268" s="2" t="s">
        <v>623</v>
      </c>
      <c r="D268" s="2">
        <v>524989289739</v>
      </c>
      <c r="E268" s="2" t="s">
        <v>64</v>
      </c>
      <c r="F268" s="2" t="s">
        <v>146</v>
      </c>
      <c r="G268" s="2" t="s">
        <v>147</v>
      </c>
      <c r="H268" s="2" t="s">
        <v>70</v>
      </c>
      <c r="I268" s="2" t="s">
        <v>53</v>
      </c>
      <c r="J268" s="2">
        <v>466320.11</v>
      </c>
      <c r="K268" s="2" t="s">
        <v>23</v>
      </c>
      <c r="L268" s="3">
        <v>45646</v>
      </c>
      <c r="M268" s="2" t="s">
        <v>113</v>
      </c>
      <c r="N268" s="2">
        <v>1960336.41</v>
      </c>
      <c r="O268" s="2" t="s">
        <v>25</v>
      </c>
      <c r="P268" s="5" t="str">
        <f t="shared" si="20"/>
        <v>2024-12</v>
      </c>
      <c r="Q268">
        <f t="shared" si="21"/>
        <v>466320.11</v>
      </c>
      <c r="R268">
        <f t="shared" si="22"/>
        <v>0</v>
      </c>
      <c r="S268" t="str">
        <f t="shared" si="23"/>
        <v>Digital</v>
      </c>
      <c r="T268" t="str">
        <f t="shared" si="24"/>
        <v>One-Time User</v>
      </c>
    </row>
    <row r="269" spans="1:20" ht="15.75" customHeight="1" x14ac:dyDescent="0.3">
      <c r="A269" s="2" t="s">
        <v>624</v>
      </c>
      <c r="B269" s="2">
        <v>139106</v>
      </c>
      <c r="C269" s="2" t="s">
        <v>625</v>
      </c>
      <c r="D269" s="2">
        <v>475832206582</v>
      </c>
      <c r="E269" s="2" t="s">
        <v>18</v>
      </c>
      <c r="F269" s="2" t="s">
        <v>46</v>
      </c>
      <c r="G269" s="2" t="s">
        <v>47</v>
      </c>
      <c r="H269" s="2" t="s">
        <v>67</v>
      </c>
      <c r="I269" s="2" t="s">
        <v>48</v>
      </c>
      <c r="J269" s="2">
        <v>200163.67</v>
      </c>
      <c r="K269" s="2" t="s">
        <v>98</v>
      </c>
      <c r="L269" s="3">
        <v>45222</v>
      </c>
      <c r="M269" s="2" t="s">
        <v>168</v>
      </c>
      <c r="N269" s="2">
        <v>415663.7</v>
      </c>
      <c r="O269" s="2" t="s">
        <v>25</v>
      </c>
      <c r="P269" s="5" t="str">
        <f t="shared" si="20"/>
        <v>2023-10</v>
      </c>
      <c r="Q269">
        <f t="shared" si="21"/>
        <v>200163.67</v>
      </c>
      <c r="R269">
        <f t="shared" si="22"/>
        <v>0</v>
      </c>
      <c r="S269" t="str">
        <f t="shared" si="23"/>
        <v>Cash-Based</v>
      </c>
      <c r="T269" t="str">
        <f t="shared" si="24"/>
        <v>One-Time User</v>
      </c>
    </row>
    <row r="270" spans="1:20" ht="15.75" customHeight="1" x14ac:dyDescent="0.3">
      <c r="A270" s="2" t="s">
        <v>626</v>
      </c>
      <c r="B270" s="2">
        <v>694119</v>
      </c>
      <c r="C270" s="2" t="s">
        <v>627</v>
      </c>
      <c r="D270" s="2">
        <v>751228513253</v>
      </c>
      <c r="E270" s="2" t="s">
        <v>64</v>
      </c>
      <c r="F270" s="2" t="s">
        <v>166</v>
      </c>
      <c r="G270" s="2" t="s">
        <v>167</v>
      </c>
      <c r="H270" s="2" t="s">
        <v>31</v>
      </c>
      <c r="I270" s="2" t="s">
        <v>48</v>
      </c>
      <c r="J270" s="2">
        <v>227121.19</v>
      </c>
      <c r="K270" s="2" t="s">
        <v>32</v>
      </c>
      <c r="L270" s="3">
        <v>45792</v>
      </c>
      <c r="M270" s="2" t="s">
        <v>24</v>
      </c>
      <c r="N270" s="2">
        <v>1348492.26</v>
      </c>
      <c r="O270" s="2" t="s">
        <v>25</v>
      </c>
      <c r="P270" s="5" t="str">
        <f t="shared" si="20"/>
        <v>2025-05</v>
      </c>
      <c r="Q270">
        <f t="shared" si="21"/>
        <v>227121.19</v>
      </c>
      <c r="R270">
        <f t="shared" si="22"/>
        <v>0</v>
      </c>
      <c r="S270" t="str">
        <f t="shared" si="23"/>
        <v>Cash-Based</v>
      </c>
      <c r="T270" t="str">
        <f t="shared" si="24"/>
        <v>One-Time User</v>
      </c>
    </row>
    <row r="271" spans="1:20" ht="15.75" customHeight="1" x14ac:dyDescent="0.3">
      <c r="A271" s="2" t="s">
        <v>628</v>
      </c>
      <c r="B271" s="2">
        <v>523970</v>
      </c>
      <c r="C271" s="2" t="s">
        <v>629</v>
      </c>
      <c r="D271" s="2">
        <v>152931021324</v>
      </c>
      <c r="E271" s="2" t="s">
        <v>18</v>
      </c>
      <c r="F271" s="2" t="s">
        <v>19</v>
      </c>
      <c r="G271" s="2" t="s">
        <v>20</v>
      </c>
      <c r="H271" s="2" t="s">
        <v>67</v>
      </c>
      <c r="I271" s="2" t="s">
        <v>53</v>
      </c>
      <c r="J271" s="2">
        <v>369861.85</v>
      </c>
      <c r="K271" s="2" t="s">
        <v>23</v>
      </c>
      <c r="L271" s="3">
        <v>45295</v>
      </c>
      <c r="M271" s="2" t="s">
        <v>50</v>
      </c>
      <c r="N271" s="2">
        <v>1630300.12</v>
      </c>
      <c r="O271" s="2" t="s">
        <v>25</v>
      </c>
      <c r="P271" s="5" t="str">
        <f t="shared" si="20"/>
        <v>2024-01</v>
      </c>
      <c r="Q271">
        <f t="shared" si="21"/>
        <v>369861.85</v>
      </c>
      <c r="R271">
        <f t="shared" si="22"/>
        <v>0</v>
      </c>
      <c r="S271" t="str">
        <f t="shared" si="23"/>
        <v>Digital</v>
      </c>
      <c r="T271" t="str">
        <f t="shared" si="24"/>
        <v>One-Time User</v>
      </c>
    </row>
    <row r="272" spans="1:20" ht="15.75" customHeight="1" x14ac:dyDescent="0.3">
      <c r="A272" s="2" t="s">
        <v>630</v>
      </c>
      <c r="B272" s="2">
        <v>962182</v>
      </c>
      <c r="C272" s="2" t="s">
        <v>631</v>
      </c>
      <c r="D272" s="2">
        <v>943603317916</v>
      </c>
      <c r="E272" s="2" t="s">
        <v>18</v>
      </c>
      <c r="F272" s="2" t="s">
        <v>46</v>
      </c>
      <c r="G272" s="2" t="s">
        <v>47</v>
      </c>
      <c r="H272" s="2" t="s">
        <v>70</v>
      </c>
      <c r="I272" s="2" t="s">
        <v>22</v>
      </c>
      <c r="J272" s="2">
        <v>381535.21</v>
      </c>
      <c r="K272" s="2" t="s">
        <v>32</v>
      </c>
      <c r="L272" s="3">
        <v>45698</v>
      </c>
      <c r="M272" s="2" t="s">
        <v>24</v>
      </c>
      <c r="N272" s="2">
        <v>1014653.83</v>
      </c>
      <c r="O272" s="2" t="s">
        <v>25</v>
      </c>
      <c r="P272" s="5" t="str">
        <f t="shared" si="20"/>
        <v>2025-02</v>
      </c>
      <c r="Q272">
        <f t="shared" si="21"/>
        <v>381535.21</v>
      </c>
      <c r="R272">
        <f t="shared" si="22"/>
        <v>0</v>
      </c>
      <c r="S272" t="str">
        <f t="shared" si="23"/>
        <v>Cash-Based</v>
      </c>
      <c r="T272" t="str">
        <f t="shared" si="24"/>
        <v>One-Time User</v>
      </c>
    </row>
    <row r="273" spans="1:20" ht="15.75" customHeight="1" x14ac:dyDescent="0.3">
      <c r="A273" s="2" t="s">
        <v>632</v>
      </c>
      <c r="B273" s="2">
        <v>780928</v>
      </c>
      <c r="C273" s="2" t="s">
        <v>633</v>
      </c>
      <c r="D273" s="2">
        <v>491219042136</v>
      </c>
      <c r="E273" s="2" t="s">
        <v>35</v>
      </c>
      <c r="F273" s="2" t="s">
        <v>60</v>
      </c>
      <c r="G273" s="2" t="s">
        <v>61</v>
      </c>
      <c r="H273" s="2" t="s">
        <v>70</v>
      </c>
      <c r="I273" s="2" t="s">
        <v>38</v>
      </c>
      <c r="J273" s="2">
        <v>4845.92</v>
      </c>
      <c r="K273" s="2" t="s">
        <v>49</v>
      </c>
      <c r="L273" s="3">
        <v>45161</v>
      </c>
      <c r="M273" s="2" t="s">
        <v>24</v>
      </c>
      <c r="N273" s="2">
        <v>1977987.89</v>
      </c>
      <c r="O273" s="2" t="s">
        <v>25</v>
      </c>
      <c r="P273" s="5" t="str">
        <f t="shared" si="20"/>
        <v>2023-08</v>
      </c>
      <c r="Q273">
        <f t="shared" si="21"/>
        <v>-4845.92</v>
      </c>
      <c r="R273">
        <f t="shared" si="22"/>
        <v>0</v>
      </c>
      <c r="S273" t="str">
        <f t="shared" si="23"/>
        <v>Cash-Based</v>
      </c>
      <c r="T273" t="str">
        <f t="shared" si="24"/>
        <v>One-Time User</v>
      </c>
    </row>
    <row r="274" spans="1:20" ht="15.75" customHeight="1" x14ac:dyDescent="0.3">
      <c r="A274" s="2" t="s">
        <v>634</v>
      </c>
      <c r="B274" s="2">
        <v>421539</v>
      </c>
      <c r="C274" s="2" t="s">
        <v>635</v>
      </c>
      <c r="D274" s="2">
        <v>298594864896</v>
      </c>
      <c r="E274" s="2" t="s">
        <v>64</v>
      </c>
      <c r="F274" s="2" t="s">
        <v>83</v>
      </c>
      <c r="G274" s="2" t="s">
        <v>84</v>
      </c>
      <c r="H274" s="2" t="s">
        <v>67</v>
      </c>
      <c r="I274" s="2" t="s">
        <v>48</v>
      </c>
      <c r="J274" s="2">
        <v>205821.35</v>
      </c>
      <c r="K274" s="2" t="s">
        <v>23</v>
      </c>
      <c r="L274" s="3">
        <v>45757</v>
      </c>
      <c r="M274" s="2" t="s">
        <v>24</v>
      </c>
      <c r="N274" s="2">
        <v>1206544.3400000001</v>
      </c>
      <c r="O274" s="2" t="s">
        <v>25</v>
      </c>
      <c r="P274" s="5" t="str">
        <f t="shared" si="20"/>
        <v>2025-04</v>
      </c>
      <c r="Q274">
        <f t="shared" si="21"/>
        <v>205821.35</v>
      </c>
      <c r="R274">
        <f t="shared" si="22"/>
        <v>0</v>
      </c>
      <c r="S274" t="str">
        <f t="shared" si="23"/>
        <v>Digital</v>
      </c>
      <c r="T274" t="str">
        <f t="shared" si="24"/>
        <v>One-Time User</v>
      </c>
    </row>
    <row r="275" spans="1:20" ht="15.75" customHeight="1" x14ac:dyDescent="0.3">
      <c r="A275" s="2" t="s">
        <v>636</v>
      </c>
      <c r="B275" s="2">
        <v>826365</v>
      </c>
      <c r="C275" s="2" t="s">
        <v>637</v>
      </c>
      <c r="D275" s="2">
        <v>497519884299</v>
      </c>
      <c r="E275" s="2" t="s">
        <v>18</v>
      </c>
      <c r="F275" s="2" t="s">
        <v>156</v>
      </c>
      <c r="G275" s="2" t="s">
        <v>157</v>
      </c>
      <c r="H275" s="2" t="s">
        <v>21</v>
      </c>
      <c r="I275" s="2" t="s">
        <v>22</v>
      </c>
      <c r="J275" s="2">
        <v>193788.6</v>
      </c>
      <c r="K275" s="2" t="s">
        <v>98</v>
      </c>
      <c r="L275" s="3">
        <v>45402</v>
      </c>
      <c r="M275" s="2" t="s">
        <v>24</v>
      </c>
      <c r="N275" s="2">
        <v>1163250.32</v>
      </c>
      <c r="O275" s="2" t="s">
        <v>25</v>
      </c>
      <c r="P275" s="5" t="str">
        <f t="shared" si="20"/>
        <v>2024-04</v>
      </c>
      <c r="Q275">
        <f t="shared" si="21"/>
        <v>193788.6</v>
      </c>
      <c r="R275">
        <f t="shared" si="22"/>
        <v>0</v>
      </c>
      <c r="S275" t="str">
        <f t="shared" si="23"/>
        <v>Cash-Based</v>
      </c>
      <c r="T275" t="str">
        <f t="shared" si="24"/>
        <v>One-Time User</v>
      </c>
    </row>
    <row r="276" spans="1:20" ht="15.75" customHeight="1" x14ac:dyDescent="0.3">
      <c r="A276" s="2" t="s">
        <v>638</v>
      </c>
      <c r="B276" s="2">
        <v>579900</v>
      </c>
      <c r="C276" s="2" t="s">
        <v>639</v>
      </c>
      <c r="D276" s="2">
        <v>201644180608</v>
      </c>
      <c r="E276" s="2" t="s">
        <v>28</v>
      </c>
      <c r="F276" s="2" t="s">
        <v>150</v>
      </c>
      <c r="G276" s="2" t="s">
        <v>151</v>
      </c>
      <c r="H276" s="2" t="s">
        <v>67</v>
      </c>
      <c r="I276" s="2" t="s">
        <v>38</v>
      </c>
      <c r="J276" s="2">
        <v>126460.13</v>
      </c>
      <c r="K276" s="2" t="s">
        <v>32</v>
      </c>
      <c r="L276" s="3">
        <v>45690</v>
      </c>
      <c r="M276" s="2" t="s">
        <v>24</v>
      </c>
      <c r="N276" s="2">
        <v>1739088.85</v>
      </c>
      <c r="O276" s="2" t="s">
        <v>25</v>
      </c>
      <c r="P276" s="5" t="str">
        <f t="shared" si="20"/>
        <v>2025-02</v>
      </c>
      <c r="Q276">
        <f t="shared" si="21"/>
        <v>-126460.13</v>
      </c>
      <c r="R276">
        <f t="shared" si="22"/>
        <v>0</v>
      </c>
      <c r="S276" t="str">
        <f t="shared" si="23"/>
        <v>Cash-Based</v>
      </c>
      <c r="T276" t="str">
        <f t="shared" si="24"/>
        <v>One-Time User</v>
      </c>
    </row>
    <row r="277" spans="1:20" ht="15.75" customHeight="1" x14ac:dyDescent="0.3">
      <c r="A277" s="2" t="s">
        <v>640</v>
      </c>
      <c r="B277" s="2">
        <v>792044</v>
      </c>
      <c r="C277" s="2" t="s">
        <v>641</v>
      </c>
      <c r="D277" s="2">
        <v>608496244258</v>
      </c>
      <c r="E277" s="2" t="s">
        <v>64</v>
      </c>
      <c r="F277" s="2" t="s">
        <v>177</v>
      </c>
      <c r="G277" s="2" t="s">
        <v>178</v>
      </c>
      <c r="H277" s="2" t="s">
        <v>31</v>
      </c>
      <c r="I277" s="2" t="s">
        <v>53</v>
      </c>
      <c r="J277" s="2">
        <v>272401.31</v>
      </c>
      <c r="K277" s="2" t="s">
        <v>23</v>
      </c>
      <c r="L277" s="3">
        <v>45734</v>
      </c>
      <c r="M277" s="2" t="s">
        <v>24</v>
      </c>
      <c r="N277" s="2">
        <v>1061842.3999999999</v>
      </c>
      <c r="O277" s="2" t="s">
        <v>25</v>
      </c>
      <c r="P277" s="5" t="str">
        <f t="shared" si="20"/>
        <v>2025-03</v>
      </c>
      <c r="Q277">
        <f t="shared" si="21"/>
        <v>272401.31</v>
      </c>
      <c r="R277">
        <f t="shared" si="22"/>
        <v>0</v>
      </c>
      <c r="S277" t="str">
        <f t="shared" si="23"/>
        <v>Digital</v>
      </c>
      <c r="T277" t="str">
        <f t="shared" si="24"/>
        <v>One-Time User</v>
      </c>
    </row>
    <row r="278" spans="1:20" ht="15.75" customHeight="1" x14ac:dyDescent="0.3">
      <c r="A278" s="2" t="s">
        <v>642</v>
      </c>
      <c r="B278" s="2">
        <v>854536</v>
      </c>
      <c r="C278" s="2" t="s">
        <v>643</v>
      </c>
      <c r="D278" s="2">
        <v>533388275492</v>
      </c>
      <c r="E278" s="2" t="s">
        <v>91</v>
      </c>
      <c r="F278" s="2" t="s">
        <v>109</v>
      </c>
      <c r="G278" s="2" t="s">
        <v>110</v>
      </c>
      <c r="H278" s="2" t="s">
        <v>67</v>
      </c>
      <c r="I278" s="2" t="s">
        <v>22</v>
      </c>
      <c r="J278" s="2">
        <v>584071.86</v>
      </c>
      <c r="K278" s="2" t="s">
        <v>23</v>
      </c>
      <c r="L278" s="3">
        <v>45275</v>
      </c>
      <c r="M278" s="2" t="s">
        <v>24</v>
      </c>
      <c r="N278" s="2">
        <v>981560.64999999991</v>
      </c>
      <c r="O278" s="2" t="s">
        <v>25</v>
      </c>
      <c r="P278" s="5" t="str">
        <f t="shared" si="20"/>
        <v>2023-12</v>
      </c>
      <c r="Q278">
        <f t="shared" si="21"/>
        <v>584071.86</v>
      </c>
      <c r="R278">
        <f t="shared" si="22"/>
        <v>0</v>
      </c>
      <c r="S278" t="str">
        <f t="shared" si="23"/>
        <v>Digital</v>
      </c>
      <c r="T278" t="str">
        <f t="shared" si="24"/>
        <v>One-Time User</v>
      </c>
    </row>
    <row r="279" spans="1:20" ht="15.75" customHeight="1" x14ac:dyDescent="0.3">
      <c r="A279" s="2" t="s">
        <v>644</v>
      </c>
      <c r="B279" s="2">
        <v>247151</v>
      </c>
      <c r="C279" s="2" t="s">
        <v>645</v>
      </c>
      <c r="D279" s="2">
        <v>926782138535</v>
      </c>
      <c r="E279" s="2" t="s">
        <v>28</v>
      </c>
      <c r="F279" s="2" t="s">
        <v>29</v>
      </c>
      <c r="G279" s="2" t="s">
        <v>30</v>
      </c>
      <c r="H279" s="2" t="s">
        <v>70</v>
      </c>
      <c r="I279" s="2" t="s">
        <v>22</v>
      </c>
      <c r="J279" s="2">
        <v>314411.17</v>
      </c>
      <c r="K279" s="2" t="s">
        <v>39</v>
      </c>
      <c r="L279" s="3">
        <v>45336</v>
      </c>
      <c r="M279" s="2" t="s">
        <v>24</v>
      </c>
      <c r="N279" s="2">
        <v>1156721.3700000001</v>
      </c>
      <c r="O279" s="2" t="s">
        <v>25</v>
      </c>
      <c r="P279" s="5" t="str">
        <f t="shared" si="20"/>
        <v>2024-02</v>
      </c>
      <c r="Q279">
        <f t="shared" si="21"/>
        <v>314411.17</v>
      </c>
      <c r="R279">
        <f t="shared" si="22"/>
        <v>0</v>
      </c>
      <c r="S279" t="str">
        <f t="shared" si="23"/>
        <v>Cash-Based</v>
      </c>
      <c r="T279" t="str">
        <f t="shared" si="24"/>
        <v>One-Time User</v>
      </c>
    </row>
    <row r="280" spans="1:20" ht="15.75" customHeight="1" x14ac:dyDescent="0.3">
      <c r="A280" s="2" t="s">
        <v>646</v>
      </c>
      <c r="B280" s="2">
        <v>116982</v>
      </c>
      <c r="C280" s="2" t="s">
        <v>647</v>
      </c>
      <c r="D280" s="2">
        <v>123840092510</v>
      </c>
      <c r="E280" s="2" t="s">
        <v>18</v>
      </c>
      <c r="F280" s="2" t="s">
        <v>19</v>
      </c>
      <c r="G280" s="2" t="s">
        <v>20</v>
      </c>
      <c r="H280" s="2" t="s">
        <v>31</v>
      </c>
      <c r="I280" s="2" t="s">
        <v>48</v>
      </c>
      <c r="J280" s="2">
        <v>11969.71</v>
      </c>
      <c r="K280" s="2" t="s">
        <v>23</v>
      </c>
      <c r="L280" s="3">
        <v>45570</v>
      </c>
      <c r="M280" s="2" t="s">
        <v>24</v>
      </c>
      <c r="N280" s="2">
        <v>501200.97</v>
      </c>
      <c r="O280" s="2" t="s">
        <v>25</v>
      </c>
      <c r="P280" s="5" t="str">
        <f t="shared" si="20"/>
        <v>2024-10</v>
      </c>
      <c r="Q280">
        <f t="shared" si="21"/>
        <v>11969.71</v>
      </c>
      <c r="R280">
        <f t="shared" si="22"/>
        <v>0</v>
      </c>
      <c r="S280" t="str">
        <f t="shared" si="23"/>
        <v>Digital</v>
      </c>
      <c r="T280" t="str">
        <f t="shared" si="24"/>
        <v>One-Time User</v>
      </c>
    </row>
    <row r="281" spans="1:20" ht="15.75" customHeight="1" x14ac:dyDescent="0.3">
      <c r="A281" s="2" t="s">
        <v>648</v>
      </c>
      <c r="B281" s="2">
        <v>588946</v>
      </c>
      <c r="C281" s="2" t="s">
        <v>649</v>
      </c>
      <c r="D281" s="2">
        <v>171963031441</v>
      </c>
      <c r="E281" s="2" t="s">
        <v>64</v>
      </c>
      <c r="F281" s="2" t="s">
        <v>146</v>
      </c>
      <c r="G281" s="2" t="s">
        <v>147</v>
      </c>
      <c r="H281" s="2" t="s">
        <v>67</v>
      </c>
      <c r="I281" s="2" t="s">
        <v>38</v>
      </c>
      <c r="J281" s="2">
        <v>116669.04</v>
      </c>
      <c r="K281" s="2" t="s">
        <v>23</v>
      </c>
      <c r="L281" s="3">
        <v>45262</v>
      </c>
      <c r="M281" s="2" t="s">
        <v>24</v>
      </c>
      <c r="N281" s="2">
        <v>1108834.99</v>
      </c>
      <c r="O281" s="2" t="s">
        <v>25</v>
      </c>
      <c r="P281" s="5" t="str">
        <f t="shared" si="20"/>
        <v>2023-12</v>
      </c>
      <c r="Q281">
        <f t="shared" si="21"/>
        <v>-116669.04</v>
      </c>
      <c r="R281">
        <f t="shared" si="22"/>
        <v>0</v>
      </c>
      <c r="S281" t="str">
        <f t="shared" si="23"/>
        <v>Digital</v>
      </c>
      <c r="T281" t="str">
        <f t="shared" si="24"/>
        <v>One-Time User</v>
      </c>
    </row>
    <row r="282" spans="1:20" ht="15.75" customHeight="1" x14ac:dyDescent="0.3">
      <c r="A282" s="2" t="s">
        <v>650</v>
      </c>
      <c r="B282" s="2">
        <v>316547</v>
      </c>
      <c r="C282" s="2" t="s">
        <v>651</v>
      </c>
      <c r="D282" s="2">
        <v>641936362459</v>
      </c>
      <c r="E282" s="2" t="s">
        <v>64</v>
      </c>
      <c r="F282" s="2" t="s">
        <v>146</v>
      </c>
      <c r="G282" s="2" t="s">
        <v>147</v>
      </c>
      <c r="H282" s="2" t="s">
        <v>70</v>
      </c>
      <c r="I282" s="2" t="s">
        <v>53</v>
      </c>
      <c r="J282" s="2">
        <v>443587.6</v>
      </c>
      <c r="K282" s="2" t="s">
        <v>23</v>
      </c>
      <c r="L282" s="3">
        <v>45352</v>
      </c>
      <c r="M282" s="2" t="s">
        <v>24</v>
      </c>
      <c r="N282" s="2">
        <v>1996546.47</v>
      </c>
      <c r="O282" s="2" t="s">
        <v>25</v>
      </c>
      <c r="P282" s="5" t="str">
        <f t="shared" si="20"/>
        <v>2024-03</v>
      </c>
      <c r="Q282">
        <f t="shared" si="21"/>
        <v>443587.6</v>
      </c>
      <c r="R282">
        <f t="shared" si="22"/>
        <v>0</v>
      </c>
      <c r="S282" t="str">
        <f t="shared" si="23"/>
        <v>Digital</v>
      </c>
      <c r="T282" t="str">
        <f t="shared" si="24"/>
        <v>One-Time User</v>
      </c>
    </row>
    <row r="283" spans="1:20" ht="15.75" customHeight="1" x14ac:dyDescent="0.3">
      <c r="A283" s="2" t="s">
        <v>652</v>
      </c>
      <c r="B283" s="2">
        <v>492092</v>
      </c>
      <c r="C283" s="2" t="s">
        <v>653</v>
      </c>
      <c r="D283" s="2">
        <v>564967692986</v>
      </c>
      <c r="E283" s="2" t="s">
        <v>28</v>
      </c>
      <c r="F283" s="2" t="s">
        <v>29</v>
      </c>
      <c r="G283" s="2" t="s">
        <v>30</v>
      </c>
      <c r="H283" s="2" t="s">
        <v>31</v>
      </c>
      <c r="I283" s="2" t="s">
        <v>48</v>
      </c>
      <c r="J283" s="2">
        <v>101848.93</v>
      </c>
      <c r="K283" s="2" t="s">
        <v>32</v>
      </c>
      <c r="L283" s="3">
        <v>45243</v>
      </c>
      <c r="M283" s="2" t="s">
        <v>24</v>
      </c>
      <c r="N283" s="2">
        <v>1018560.23</v>
      </c>
      <c r="O283" s="2" t="s">
        <v>25</v>
      </c>
      <c r="P283" s="5" t="str">
        <f t="shared" si="20"/>
        <v>2023-11</v>
      </c>
      <c r="Q283">
        <f t="shared" si="21"/>
        <v>101848.93</v>
      </c>
      <c r="R283">
        <f t="shared" si="22"/>
        <v>0</v>
      </c>
      <c r="S283" t="str">
        <f t="shared" si="23"/>
        <v>Cash-Based</v>
      </c>
      <c r="T283" t="str">
        <f t="shared" si="24"/>
        <v>One-Time User</v>
      </c>
    </row>
    <row r="284" spans="1:20" ht="15.75" customHeight="1" x14ac:dyDescent="0.3">
      <c r="A284" s="2" t="s">
        <v>654</v>
      </c>
      <c r="B284" s="2">
        <v>689047</v>
      </c>
      <c r="C284" s="2" t="s">
        <v>655</v>
      </c>
      <c r="D284" s="2">
        <v>494929654093</v>
      </c>
      <c r="E284" s="2" t="s">
        <v>18</v>
      </c>
      <c r="F284" s="2" t="s">
        <v>156</v>
      </c>
      <c r="G284" s="2" t="s">
        <v>157</v>
      </c>
      <c r="H284" s="2" t="s">
        <v>67</v>
      </c>
      <c r="I284" s="2" t="s">
        <v>38</v>
      </c>
      <c r="J284" s="2">
        <v>10185.450000000001</v>
      </c>
      <c r="K284" s="2" t="s">
        <v>32</v>
      </c>
      <c r="L284" s="3">
        <v>45320</v>
      </c>
      <c r="M284" s="2" t="s">
        <v>24</v>
      </c>
      <c r="N284" s="2">
        <v>659150.17000000004</v>
      </c>
      <c r="O284" s="2" t="s">
        <v>25</v>
      </c>
      <c r="P284" s="5" t="str">
        <f t="shared" si="20"/>
        <v>2024-01</v>
      </c>
      <c r="Q284">
        <f t="shared" si="21"/>
        <v>-10185.450000000001</v>
      </c>
      <c r="R284">
        <f t="shared" si="22"/>
        <v>0</v>
      </c>
      <c r="S284" t="str">
        <f t="shared" si="23"/>
        <v>Cash-Based</v>
      </c>
      <c r="T284" t="str">
        <f t="shared" si="24"/>
        <v>One-Time User</v>
      </c>
    </row>
    <row r="285" spans="1:20" ht="15.75" customHeight="1" x14ac:dyDescent="0.3">
      <c r="A285" s="2" t="s">
        <v>656</v>
      </c>
      <c r="B285" s="2">
        <v>362079</v>
      </c>
      <c r="C285" s="2" t="s">
        <v>657</v>
      </c>
      <c r="D285" s="2">
        <v>119549755173</v>
      </c>
      <c r="E285" s="2" t="s">
        <v>64</v>
      </c>
      <c r="F285" s="2" t="s">
        <v>166</v>
      </c>
      <c r="G285" s="2" t="s">
        <v>167</v>
      </c>
      <c r="H285" s="2" t="s">
        <v>31</v>
      </c>
      <c r="I285" s="2" t="s">
        <v>38</v>
      </c>
      <c r="J285" s="2">
        <v>1553.42</v>
      </c>
      <c r="K285" s="2" t="s">
        <v>23</v>
      </c>
      <c r="L285" s="3">
        <v>45621</v>
      </c>
      <c r="M285" s="2" t="s">
        <v>24</v>
      </c>
      <c r="N285" s="2">
        <v>1995705.93</v>
      </c>
      <c r="O285" s="2" t="s">
        <v>25</v>
      </c>
      <c r="P285" s="5" t="str">
        <f t="shared" si="20"/>
        <v>2024-11</v>
      </c>
      <c r="Q285">
        <f t="shared" si="21"/>
        <v>-1553.42</v>
      </c>
      <c r="R285">
        <f t="shared" si="22"/>
        <v>0</v>
      </c>
      <c r="S285" t="str">
        <f t="shared" si="23"/>
        <v>Digital</v>
      </c>
      <c r="T285" t="str">
        <f t="shared" si="24"/>
        <v>One-Time User</v>
      </c>
    </row>
    <row r="286" spans="1:20" ht="15.75" customHeight="1" x14ac:dyDescent="0.3">
      <c r="A286" s="2" t="s">
        <v>658</v>
      </c>
      <c r="B286" s="2">
        <v>856677</v>
      </c>
      <c r="C286" s="2" t="s">
        <v>659</v>
      </c>
      <c r="D286" s="2">
        <v>124406358417</v>
      </c>
      <c r="E286" s="2" t="s">
        <v>28</v>
      </c>
      <c r="F286" s="2" t="s">
        <v>216</v>
      </c>
      <c r="G286" s="2" t="s">
        <v>217</v>
      </c>
      <c r="H286" s="2" t="s">
        <v>31</v>
      </c>
      <c r="I286" s="2" t="s">
        <v>38</v>
      </c>
      <c r="J286" s="2">
        <v>60785.43</v>
      </c>
      <c r="K286" s="2" t="s">
        <v>49</v>
      </c>
      <c r="L286" s="3">
        <v>45189</v>
      </c>
      <c r="M286" s="2" t="s">
        <v>24</v>
      </c>
      <c r="N286" s="2">
        <v>1643531.92</v>
      </c>
      <c r="O286" s="2" t="s">
        <v>25</v>
      </c>
      <c r="P286" s="5" t="str">
        <f t="shared" si="20"/>
        <v>2023-09</v>
      </c>
      <c r="Q286">
        <f t="shared" si="21"/>
        <v>-60785.43</v>
      </c>
      <c r="R286">
        <f t="shared" si="22"/>
        <v>0</v>
      </c>
      <c r="S286" t="str">
        <f t="shared" si="23"/>
        <v>Cash-Based</v>
      </c>
      <c r="T286" t="str">
        <f t="shared" si="24"/>
        <v>One-Time User</v>
      </c>
    </row>
    <row r="287" spans="1:20" ht="15.75" customHeight="1" x14ac:dyDescent="0.3">
      <c r="A287" s="2" t="s">
        <v>660</v>
      </c>
      <c r="B287" s="2">
        <v>740300</v>
      </c>
      <c r="C287" s="2" t="s">
        <v>661</v>
      </c>
      <c r="D287" s="2">
        <v>994560173406</v>
      </c>
      <c r="E287" s="2" t="s">
        <v>18</v>
      </c>
      <c r="F287" s="2" t="s">
        <v>19</v>
      </c>
      <c r="G287" s="2" t="s">
        <v>20</v>
      </c>
      <c r="H287" s="2" t="s">
        <v>70</v>
      </c>
      <c r="I287" s="2" t="s">
        <v>53</v>
      </c>
      <c r="J287" s="2">
        <v>26356.89</v>
      </c>
      <c r="K287" s="2" t="s">
        <v>49</v>
      </c>
      <c r="L287" s="3">
        <v>45420</v>
      </c>
      <c r="M287" s="2" t="s">
        <v>24</v>
      </c>
      <c r="N287" s="2">
        <v>2014129.86</v>
      </c>
      <c r="O287" s="2" t="s">
        <v>25</v>
      </c>
      <c r="P287" s="5" t="str">
        <f t="shared" si="20"/>
        <v>2024-05</v>
      </c>
      <c r="Q287">
        <f t="shared" si="21"/>
        <v>26356.89</v>
      </c>
      <c r="R287">
        <f t="shared" si="22"/>
        <v>0</v>
      </c>
      <c r="S287" t="str">
        <f t="shared" si="23"/>
        <v>Cash-Based</v>
      </c>
      <c r="T287" t="str">
        <f t="shared" si="24"/>
        <v>One-Time User</v>
      </c>
    </row>
    <row r="288" spans="1:20" ht="15.75" customHeight="1" x14ac:dyDescent="0.3">
      <c r="A288" s="2" t="s">
        <v>662</v>
      </c>
      <c r="B288" s="2">
        <v>879380</v>
      </c>
      <c r="C288" s="2" t="s">
        <v>663</v>
      </c>
      <c r="D288" s="2">
        <v>136882903943</v>
      </c>
      <c r="E288" s="2" t="s">
        <v>35</v>
      </c>
      <c r="F288" s="2" t="s">
        <v>136</v>
      </c>
      <c r="G288" s="2" t="s">
        <v>137</v>
      </c>
      <c r="H288" s="2" t="s">
        <v>21</v>
      </c>
      <c r="I288" s="2" t="s">
        <v>53</v>
      </c>
      <c r="J288" s="2">
        <v>426792.12</v>
      </c>
      <c r="K288" s="2" t="s">
        <v>23</v>
      </c>
      <c r="L288" s="3">
        <v>45279</v>
      </c>
      <c r="M288" s="2" t="s">
        <v>24</v>
      </c>
      <c r="N288" s="2">
        <v>1603328.83</v>
      </c>
      <c r="O288" s="2" t="s">
        <v>25</v>
      </c>
      <c r="P288" s="5" t="str">
        <f t="shared" si="20"/>
        <v>2023-12</v>
      </c>
      <c r="Q288">
        <f t="shared" si="21"/>
        <v>426792.12</v>
      </c>
      <c r="R288">
        <f t="shared" si="22"/>
        <v>0</v>
      </c>
      <c r="S288" t="str">
        <f t="shared" si="23"/>
        <v>Digital</v>
      </c>
      <c r="T288" t="str">
        <f t="shared" si="24"/>
        <v>One-Time User</v>
      </c>
    </row>
    <row r="289" spans="1:20" ht="15.75" customHeight="1" x14ac:dyDescent="0.3">
      <c r="A289" s="2" t="s">
        <v>664</v>
      </c>
      <c r="B289" s="2">
        <v>801581</v>
      </c>
      <c r="C289" s="2" t="s">
        <v>665</v>
      </c>
      <c r="D289" s="2">
        <v>217777372658</v>
      </c>
      <c r="E289" s="2" t="s">
        <v>18</v>
      </c>
      <c r="F289" s="2" t="s">
        <v>156</v>
      </c>
      <c r="G289" s="2" t="s">
        <v>157</v>
      </c>
      <c r="H289" s="2" t="s">
        <v>70</v>
      </c>
      <c r="I289" s="2" t="s">
        <v>53</v>
      </c>
      <c r="J289" s="2">
        <v>491742.99</v>
      </c>
      <c r="K289" s="2" t="s">
        <v>23</v>
      </c>
      <c r="L289" s="3">
        <v>45255</v>
      </c>
      <c r="M289" s="2" t="s">
        <v>24</v>
      </c>
      <c r="N289" s="2">
        <v>1035990.72</v>
      </c>
      <c r="O289" s="2" t="s">
        <v>25</v>
      </c>
      <c r="P289" s="5" t="str">
        <f t="shared" si="20"/>
        <v>2023-11</v>
      </c>
      <c r="Q289">
        <f t="shared" si="21"/>
        <v>491742.99</v>
      </c>
      <c r="R289">
        <f t="shared" si="22"/>
        <v>0</v>
      </c>
      <c r="S289" t="str">
        <f t="shared" si="23"/>
        <v>Digital</v>
      </c>
      <c r="T289" t="str">
        <f t="shared" si="24"/>
        <v>One-Time User</v>
      </c>
    </row>
    <row r="290" spans="1:20" ht="15.75" customHeight="1" x14ac:dyDescent="0.3">
      <c r="A290" s="2" t="s">
        <v>666</v>
      </c>
      <c r="B290" s="2">
        <v>961459</v>
      </c>
      <c r="C290" s="2" t="s">
        <v>667</v>
      </c>
      <c r="D290" s="2">
        <v>437188099042</v>
      </c>
      <c r="E290" s="2" t="s">
        <v>64</v>
      </c>
      <c r="F290" s="2" t="s">
        <v>83</v>
      </c>
      <c r="G290" s="2" t="s">
        <v>84</v>
      </c>
      <c r="H290" s="2" t="s">
        <v>70</v>
      </c>
      <c r="I290" s="2" t="s">
        <v>53</v>
      </c>
      <c r="J290" s="2">
        <v>189663.01</v>
      </c>
      <c r="K290" s="2" t="s">
        <v>49</v>
      </c>
      <c r="L290" s="3">
        <v>45251</v>
      </c>
      <c r="M290" s="2" t="s">
        <v>24</v>
      </c>
      <c r="N290" s="2">
        <v>1340680.25</v>
      </c>
      <c r="O290" s="2" t="s">
        <v>25</v>
      </c>
      <c r="P290" s="5" t="str">
        <f t="shared" si="20"/>
        <v>2023-11</v>
      </c>
      <c r="Q290">
        <f t="shared" si="21"/>
        <v>189663.01</v>
      </c>
      <c r="R290">
        <f t="shared" si="22"/>
        <v>0</v>
      </c>
      <c r="S290" t="str">
        <f t="shared" si="23"/>
        <v>Cash-Based</v>
      </c>
      <c r="T290" t="str">
        <f t="shared" si="24"/>
        <v>One-Time User</v>
      </c>
    </row>
    <row r="291" spans="1:20" ht="15.75" customHeight="1" x14ac:dyDescent="0.3">
      <c r="A291" s="2" t="s">
        <v>668</v>
      </c>
      <c r="B291" s="2">
        <v>942595</v>
      </c>
      <c r="C291" s="2" t="s">
        <v>669</v>
      </c>
      <c r="D291" s="2">
        <v>883282254049</v>
      </c>
      <c r="E291" s="2" t="s">
        <v>35</v>
      </c>
      <c r="F291" s="2" t="s">
        <v>73</v>
      </c>
      <c r="G291" s="2" t="s">
        <v>74</v>
      </c>
      <c r="H291" s="2" t="s">
        <v>31</v>
      </c>
      <c r="I291" s="2" t="s">
        <v>48</v>
      </c>
      <c r="J291" s="2">
        <v>236628.52</v>
      </c>
      <c r="K291" s="2" t="s">
        <v>49</v>
      </c>
      <c r="L291" s="3">
        <v>45541</v>
      </c>
      <c r="M291" s="2" t="s">
        <v>24</v>
      </c>
      <c r="N291" s="2">
        <v>1761005.02</v>
      </c>
      <c r="O291" s="2" t="s">
        <v>25</v>
      </c>
      <c r="P291" s="5" t="str">
        <f t="shared" si="20"/>
        <v>2024-09</v>
      </c>
      <c r="Q291">
        <f t="shared" si="21"/>
        <v>236628.52</v>
      </c>
      <c r="R291">
        <f t="shared" si="22"/>
        <v>0</v>
      </c>
      <c r="S291" t="str">
        <f t="shared" si="23"/>
        <v>Cash-Based</v>
      </c>
      <c r="T291" t="str">
        <f t="shared" si="24"/>
        <v>One-Time User</v>
      </c>
    </row>
    <row r="292" spans="1:20" ht="15.75" customHeight="1" x14ac:dyDescent="0.3">
      <c r="A292" s="2" t="s">
        <v>670</v>
      </c>
      <c r="B292" s="2">
        <v>775026</v>
      </c>
      <c r="C292" s="2" t="s">
        <v>671</v>
      </c>
      <c r="D292" s="2">
        <v>462284198068</v>
      </c>
      <c r="E292" s="2" t="s">
        <v>91</v>
      </c>
      <c r="F292" s="2" t="s">
        <v>130</v>
      </c>
      <c r="G292" s="2" t="s">
        <v>131</v>
      </c>
      <c r="H292" s="2" t="s">
        <v>31</v>
      </c>
      <c r="I292" s="2" t="s">
        <v>22</v>
      </c>
      <c r="J292" s="2">
        <v>210645.38</v>
      </c>
      <c r="K292" s="2" t="s">
        <v>39</v>
      </c>
      <c r="L292" s="3">
        <v>45514</v>
      </c>
      <c r="M292" s="2" t="s">
        <v>24</v>
      </c>
      <c r="N292" s="2">
        <v>1621110.9</v>
      </c>
      <c r="O292" s="2" t="s">
        <v>25</v>
      </c>
      <c r="P292" s="5" t="str">
        <f t="shared" si="20"/>
        <v>2024-08</v>
      </c>
      <c r="Q292">
        <f t="shared" si="21"/>
        <v>210645.38</v>
      </c>
      <c r="R292">
        <f t="shared" si="22"/>
        <v>0</v>
      </c>
      <c r="S292" t="str">
        <f t="shared" si="23"/>
        <v>Cash-Based</v>
      </c>
      <c r="T292" t="str">
        <f t="shared" si="24"/>
        <v>One-Time User</v>
      </c>
    </row>
    <row r="293" spans="1:20" ht="15.75" customHeight="1" x14ac:dyDescent="0.3">
      <c r="A293" s="2" t="s">
        <v>672</v>
      </c>
      <c r="B293" s="2">
        <v>433250</v>
      </c>
      <c r="C293" s="2" t="s">
        <v>673</v>
      </c>
      <c r="D293" s="2">
        <v>123226173461</v>
      </c>
      <c r="E293" s="2" t="s">
        <v>18</v>
      </c>
      <c r="F293" s="2" t="s">
        <v>156</v>
      </c>
      <c r="G293" s="2" t="s">
        <v>157</v>
      </c>
      <c r="H293" s="2" t="s">
        <v>31</v>
      </c>
      <c r="I293" s="2" t="s">
        <v>22</v>
      </c>
      <c r="J293" s="2">
        <v>290735.08</v>
      </c>
      <c r="K293" s="2" t="s">
        <v>98</v>
      </c>
      <c r="L293" s="3">
        <v>45344</v>
      </c>
      <c r="M293" s="2" t="s">
        <v>24</v>
      </c>
      <c r="N293" s="2">
        <v>2174884.65</v>
      </c>
      <c r="O293" s="2" t="s">
        <v>25</v>
      </c>
      <c r="P293" s="5" t="str">
        <f t="shared" si="20"/>
        <v>2024-02</v>
      </c>
      <c r="Q293">
        <f t="shared" si="21"/>
        <v>290735.08</v>
      </c>
      <c r="R293">
        <f t="shared" si="22"/>
        <v>0</v>
      </c>
      <c r="S293" t="str">
        <f t="shared" si="23"/>
        <v>Cash-Based</v>
      </c>
      <c r="T293" t="str">
        <f t="shared" si="24"/>
        <v>One-Time User</v>
      </c>
    </row>
    <row r="294" spans="1:20" ht="15.75" customHeight="1" x14ac:dyDescent="0.3">
      <c r="A294" s="2" t="s">
        <v>674</v>
      </c>
      <c r="B294" s="2">
        <v>363910</v>
      </c>
      <c r="C294" s="2" t="s">
        <v>675</v>
      </c>
      <c r="D294" s="2">
        <v>677482806646</v>
      </c>
      <c r="E294" s="2" t="s">
        <v>64</v>
      </c>
      <c r="F294" s="2" t="s">
        <v>65</v>
      </c>
      <c r="G294" s="2" t="s">
        <v>66</v>
      </c>
      <c r="H294" s="2" t="s">
        <v>70</v>
      </c>
      <c r="I294" s="2" t="s">
        <v>53</v>
      </c>
      <c r="J294" s="2">
        <v>56566.32</v>
      </c>
      <c r="K294" s="2" t="s">
        <v>98</v>
      </c>
      <c r="L294" s="3">
        <v>45340</v>
      </c>
      <c r="M294" s="2" t="s">
        <v>24</v>
      </c>
      <c r="N294" s="2">
        <v>1359620.56</v>
      </c>
      <c r="O294" s="2" t="s">
        <v>25</v>
      </c>
      <c r="P294" s="5" t="str">
        <f t="shared" si="20"/>
        <v>2024-02</v>
      </c>
      <c r="Q294">
        <f t="shared" si="21"/>
        <v>56566.32</v>
      </c>
      <c r="R294">
        <f t="shared" si="22"/>
        <v>0</v>
      </c>
      <c r="S294" t="str">
        <f t="shared" si="23"/>
        <v>Cash-Based</v>
      </c>
      <c r="T294" t="str">
        <f t="shared" si="24"/>
        <v>One-Time User</v>
      </c>
    </row>
    <row r="295" spans="1:20" ht="15.75" customHeight="1" x14ac:dyDescent="0.3">
      <c r="A295" s="2" t="s">
        <v>676</v>
      </c>
      <c r="B295" s="2">
        <v>665314</v>
      </c>
      <c r="C295" s="2" t="s">
        <v>677</v>
      </c>
      <c r="D295" s="2">
        <v>420857447807</v>
      </c>
      <c r="E295" s="2" t="s">
        <v>64</v>
      </c>
      <c r="F295" s="2" t="s">
        <v>65</v>
      </c>
      <c r="G295" s="2" t="s">
        <v>66</v>
      </c>
      <c r="H295" s="2" t="s">
        <v>70</v>
      </c>
      <c r="I295" s="2" t="s">
        <v>38</v>
      </c>
      <c r="J295" s="2">
        <v>128481.44</v>
      </c>
      <c r="K295" s="2" t="s">
        <v>23</v>
      </c>
      <c r="L295" s="3">
        <v>45210</v>
      </c>
      <c r="M295" s="2" t="s">
        <v>24</v>
      </c>
      <c r="N295" s="2">
        <v>1180805.3799999999</v>
      </c>
      <c r="O295" s="2" t="s">
        <v>25</v>
      </c>
      <c r="P295" s="5" t="str">
        <f t="shared" si="20"/>
        <v>2023-10</v>
      </c>
      <c r="Q295">
        <f t="shared" si="21"/>
        <v>-128481.44</v>
      </c>
      <c r="R295">
        <f t="shared" si="22"/>
        <v>0</v>
      </c>
      <c r="S295" t="str">
        <f t="shared" si="23"/>
        <v>Digital</v>
      </c>
      <c r="T295" t="str">
        <f t="shared" si="24"/>
        <v>One-Time User</v>
      </c>
    </row>
    <row r="296" spans="1:20" ht="15.75" customHeight="1" x14ac:dyDescent="0.3">
      <c r="A296" s="2" t="s">
        <v>678</v>
      </c>
      <c r="B296" s="2">
        <v>560593</v>
      </c>
      <c r="C296" s="2" t="s">
        <v>679</v>
      </c>
      <c r="D296" s="2">
        <v>242581856250</v>
      </c>
      <c r="E296" s="2" t="s">
        <v>18</v>
      </c>
      <c r="F296" s="2" t="s">
        <v>56</v>
      </c>
      <c r="G296" s="2" t="s">
        <v>57</v>
      </c>
      <c r="H296" s="2" t="s">
        <v>67</v>
      </c>
      <c r="I296" s="2" t="s">
        <v>53</v>
      </c>
      <c r="J296" s="2">
        <v>342352.78</v>
      </c>
      <c r="K296" s="2" t="s">
        <v>49</v>
      </c>
      <c r="L296" s="3">
        <v>45388</v>
      </c>
      <c r="M296" s="2" t="s">
        <v>24</v>
      </c>
      <c r="N296" s="2">
        <v>1571656.18</v>
      </c>
      <c r="O296" s="2" t="s">
        <v>25</v>
      </c>
      <c r="P296" s="5" t="str">
        <f t="shared" si="20"/>
        <v>2024-04</v>
      </c>
      <c r="Q296">
        <f t="shared" si="21"/>
        <v>342352.78</v>
      </c>
      <c r="R296">
        <f t="shared" si="22"/>
        <v>0</v>
      </c>
      <c r="S296" t="str">
        <f t="shared" si="23"/>
        <v>Cash-Based</v>
      </c>
      <c r="T296" t="str">
        <f t="shared" si="24"/>
        <v>One-Time User</v>
      </c>
    </row>
    <row r="297" spans="1:20" ht="15.75" customHeight="1" x14ac:dyDescent="0.3">
      <c r="A297" s="2" t="s">
        <v>680</v>
      </c>
      <c r="B297" s="2">
        <v>818431</v>
      </c>
      <c r="C297" s="2" t="s">
        <v>681</v>
      </c>
      <c r="D297" s="2">
        <v>134008821990</v>
      </c>
      <c r="E297" s="2" t="s">
        <v>18</v>
      </c>
      <c r="F297" s="2" t="s">
        <v>46</v>
      </c>
      <c r="G297" s="2" t="s">
        <v>47</v>
      </c>
      <c r="H297" s="2" t="s">
        <v>70</v>
      </c>
      <c r="I297" s="2" t="s">
        <v>38</v>
      </c>
      <c r="J297" s="2">
        <v>85345.93</v>
      </c>
      <c r="K297" s="2" t="s">
        <v>39</v>
      </c>
      <c r="L297" s="3">
        <v>45443</v>
      </c>
      <c r="M297" s="2" t="s">
        <v>24</v>
      </c>
      <c r="N297" s="2">
        <v>1748371.94</v>
      </c>
      <c r="O297" s="2" t="s">
        <v>179</v>
      </c>
      <c r="P297" s="5" t="str">
        <f t="shared" si="20"/>
        <v>2024-05</v>
      </c>
      <c r="Q297">
        <f t="shared" si="21"/>
        <v>-85345.93</v>
      </c>
      <c r="R297">
        <f t="shared" si="22"/>
        <v>1</v>
      </c>
      <c r="S297" t="str">
        <f t="shared" si="23"/>
        <v>Cash-Based</v>
      </c>
      <c r="T297" t="str">
        <f t="shared" si="24"/>
        <v>One-Time User</v>
      </c>
    </row>
    <row r="298" spans="1:20" ht="15.75" customHeight="1" x14ac:dyDescent="0.3">
      <c r="A298" s="2" t="s">
        <v>682</v>
      </c>
      <c r="B298" s="2">
        <v>866770</v>
      </c>
      <c r="C298" s="2" t="s">
        <v>683</v>
      </c>
      <c r="D298" s="2">
        <v>151051425844</v>
      </c>
      <c r="E298" s="2" t="s">
        <v>64</v>
      </c>
      <c r="F298" s="2" t="s">
        <v>146</v>
      </c>
      <c r="G298" s="2" t="s">
        <v>147</v>
      </c>
      <c r="H298" s="2" t="s">
        <v>31</v>
      </c>
      <c r="I298" s="2" t="s">
        <v>48</v>
      </c>
      <c r="J298" s="2">
        <v>79519.039999999994</v>
      </c>
      <c r="K298" s="2" t="s">
        <v>32</v>
      </c>
      <c r="L298" s="3">
        <v>45753</v>
      </c>
      <c r="M298" s="2" t="s">
        <v>24</v>
      </c>
      <c r="N298" s="2">
        <v>723530.21000000008</v>
      </c>
      <c r="O298" s="2" t="s">
        <v>25</v>
      </c>
      <c r="P298" s="5" t="str">
        <f t="shared" si="20"/>
        <v>2025-04</v>
      </c>
      <c r="Q298">
        <f t="shared" si="21"/>
        <v>79519.039999999994</v>
      </c>
      <c r="R298">
        <f t="shared" si="22"/>
        <v>0</v>
      </c>
      <c r="S298" t="str">
        <f t="shared" si="23"/>
        <v>Cash-Based</v>
      </c>
      <c r="T298" t="str">
        <f t="shared" si="24"/>
        <v>One-Time User</v>
      </c>
    </row>
    <row r="299" spans="1:20" ht="15.75" customHeight="1" x14ac:dyDescent="0.3">
      <c r="A299" s="2" t="s">
        <v>684</v>
      </c>
      <c r="B299" s="2">
        <v>372542</v>
      </c>
      <c r="C299" s="2" t="s">
        <v>685</v>
      </c>
      <c r="D299" s="2">
        <v>289947365975</v>
      </c>
      <c r="E299" s="2" t="s">
        <v>28</v>
      </c>
      <c r="F299" s="2" t="s">
        <v>29</v>
      </c>
      <c r="G299" s="2" t="s">
        <v>30</v>
      </c>
      <c r="H299" s="2" t="s">
        <v>67</v>
      </c>
      <c r="I299" s="2" t="s">
        <v>22</v>
      </c>
      <c r="J299" s="2">
        <v>158595.54999999999</v>
      </c>
      <c r="K299" s="2" t="s">
        <v>32</v>
      </c>
      <c r="L299" s="3">
        <v>45479</v>
      </c>
      <c r="M299" s="2" t="s">
        <v>24</v>
      </c>
      <c r="N299" s="2">
        <v>1973122.34</v>
      </c>
      <c r="O299" s="2" t="s">
        <v>25</v>
      </c>
      <c r="P299" s="5" t="str">
        <f t="shared" si="20"/>
        <v>2024-07</v>
      </c>
      <c r="Q299">
        <f t="shared" si="21"/>
        <v>158595.54999999999</v>
      </c>
      <c r="R299">
        <f t="shared" si="22"/>
        <v>0</v>
      </c>
      <c r="S299" t="str">
        <f t="shared" si="23"/>
        <v>Cash-Based</v>
      </c>
      <c r="T299" t="str">
        <f t="shared" si="24"/>
        <v>One-Time User</v>
      </c>
    </row>
    <row r="300" spans="1:20" ht="15.75" customHeight="1" x14ac:dyDescent="0.3">
      <c r="A300" s="2" t="s">
        <v>686</v>
      </c>
      <c r="B300" s="2">
        <v>953804</v>
      </c>
      <c r="C300" s="2" t="s">
        <v>687</v>
      </c>
      <c r="D300" s="2">
        <v>241139363334</v>
      </c>
      <c r="E300" s="2" t="s">
        <v>28</v>
      </c>
      <c r="F300" s="2" t="s">
        <v>192</v>
      </c>
      <c r="G300" s="2" t="s">
        <v>193</v>
      </c>
      <c r="H300" s="2" t="s">
        <v>67</v>
      </c>
      <c r="I300" s="2" t="s">
        <v>53</v>
      </c>
      <c r="J300" s="2">
        <v>97285.9</v>
      </c>
      <c r="K300" s="2" t="s">
        <v>39</v>
      </c>
      <c r="L300" s="3">
        <v>45426</v>
      </c>
      <c r="M300" s="2" t="s">
        <v>24</v>
      </c>
      <c r="N300" s="2">
        <v>1096499.6100000001</v>
      </c>
      <c r="O300" s="2" t="s">
        <v>25</v>
      </c>
      <c r="P300" s="5" t="str">
        <f t="shared" si="20"/>
        <v>2024-05</v>
      </c>
      <c r="Q300">
        <f t="shared" si="21"/>
        <v>97285.9</v>
      </c>
      <c r="R300">
        <f t="shared" si="22"/>
        <v>0</v>
      </c>
      <c r="S300" t="str">
        <f t="shared" si="23"/>
        <v>Cash-Based</v>
      </c>
      <c r="T300" t="str">
        <f t="shared" si="24"/>
        <v>One-Time User</v>
      </c>
    </row>
    <row r="301" spans="1:20" ht="15.75" customHeight="1" x14ac:dyDescent="0.3">
      <c r="A301" s="2" t="s">
        <v>688</v>
      </c>
      <c r="B301" s="2">
        <v>916955</v>
      </c>
      <c r="C301" s="2" t="s">
        <v>689</v>
      </c>
      <c r="D301" s="2">
        <v>635029319031</v>
      </c>
      <c r="E301" s="2" t="s">
        <v>64</v>
      </c>
      <c r="F301" s="2" t="s">
        <v>65</v>
      </c>
      <c r="G301" s="2" t="s">
        <v>66</v>
      </c>
      <c r="H301" s="2" t="s">
        <v>31</v>
      </c>
      <c r="I301" s="2" t="s">
        <v>53</v>
      </c>
      <c r="J301" s="2">
        <v>126634.62</v>
      </c>
      <c r="K301" s="2" t="s">
        <v>32</v>
      </c>
      <c r="L301" s="3">
        <v>45559</v>
      </c>
      <c r="M301" s="2" t="s">
        <v>24</v>
      </c>
      <c r="N301" s="2">
        <v>1183803.32</v>
      </c>
      <c r="O301" s="2" t="s">
        <v>25</v>
      </c>
      <c r="P301" s="5" t="str">
        <f t="shared" si="20"/>
        <v>2024-09</v>
      </c>
      <c r="Q301">
        <f t="shared" si="21"/>
        <v>126634.62</v>
      </c>
      <c r="R301">
        <f t="shared" si="22"/>
        <v>0</v>
      </c>
      <c r="S301" t="str">
        <f t="shared" si="23"/>
        <v>Cash-Based</v>
      </c>
      <c r="T301" t="str">
        <f t="shared" si="24"/>
        <v>One-Time User</v>
      </c>
    </row>
    <row r="302" spans="1:20" ht="15.75" customHeight="1" x14ac:dyDescent="0.3">
      <c r="A302" s="2" t="s">
        <v>690</v>
      </c>
      <c r="B302" s="2">
        <v>977193</v>
      </c>
      <c r="C302" s="2" t="s">
        <v>691</v>
      </c>
      <c r="D302" s="2">
        <v>268490351527</v>
      </c>
      <c r="E302" s="2" t="s">
        <v>91</v>
      </c>
      <c r="F302" s="2" t="s">
        <v>105</v>
      </c>
      <c r="G302" s="2" t="s">
        <v>106</v>
      </c>
      <c r="H302" s="2" t="s">
        <v>21</v>
      </c>
      <c r="I302" s="2" t="s">
        <v>38</v>
      </c>
      <c r="J302" s="2">
        <v>21877.29</v>
      </c>
      <c r="K302" s="2" t="s">
        <v>98</v>
      </c>
      <c r="L302" s="3">
        <v>45777</v>
      </c>
      <c r="M302" s="2" t="s">
        <v>24</v>
      </c>
      <c r="N302" s="2">
        <v>1159209.6200000001</v>
      </c>
      <c r="O302" s="2" t="s">
        <v>25</v>
      </c>
      <c r="P302" s="5" t="str">
        <f t="shared" si="20"/>
        <v>2025-04</v>
      </c>
      <c r="Q302">
        <f t="shared" si="21"/>
        <v>-21877.29</v>
      </c>
      <c r="R302">
        <f t="shared" si="22"/>
        <v>0</v>
      </c>
      <c r="S302" t="str">
        <f t="shared" si="23"/>
        <v>Cash-Based</v>
      </c>
      <c r="T302" t="str">
        <f t="shared" si="24"/>
        <v>One-Time User</v>
      </c>
    </row>
    <row r="303" spans="1:20" ht="15.75" customHeight="1" x14ac:dyDescent="0.3">
      <c r="A303" s="2" t="s">
        <v>692</v>
      </c>
      <c r="B303" s="2">
        <v>432558</v>
      </c>
      <c r="C303" s="2" t="s">
        <v>693</v>
      </c>
      <c r="D303" s="2">
        <v>584318320202</v>
      </c>
      <c r="E303" s="2" t="s">
        <v>91</v>
      </c>
      <c r="F303" s="2" t="s">
        <v>109</v>
      </c>
      <c r="G303" s="2" t="s">
        <v>110</v>
      </c>
      <c r="H303" s="2" t="s">
        <v>31</v>
      </c>
      <c r="I303" s="2" t="s">
        <v>22</v>
      </c>
      <c r="J303" s="2">
        <v>252929.01</v>
      </c>
      <c r="K303" s="2" t="s">
        <v>49</v>
      </c>
      <c r="L303" s="3">
        <v>45832</v>
      </c>
      <c r="M303" s="2" t="s">
        <v>24</v>
      </c>
      <c r="N303" s="2">
        <v>2184054.12</v>
      </c>
      <c r="O303" s="2" t="s">
        <v>25</v>
      </c>
      <c r="P303" s="5" t="str">
        <f t="shared" si="20"/>
        <v>2025-06</v>
      </c>
      <c r="Q303">
        <f t="shared" si="21"/>
        <v>252929.01</v>
      </c>
      <c r="R303">
        <f t="shared" si="22"/>
        <v>0</v>
      </c>
      <c r="S303" t="str">
        <f t="shared" si="23"/>
        <v>Cash-Based</v>
      </c>
      <c r="T303" t="str">
        <f t="shared" si="24"/>
        <v>One-Time User</v>
      </c>
    </row>
    <row r="304" spans="1:20" ht="15.75" customHeight="1" x14ac:dyDescent="0.3">
      <c r="A304" s="2" t="s">
        <v>694</v>
      </c>
      <c r="B304" s="2">
        <v>240903</v>
      </c>
      <c r="C304" s="2" t="s">
        <v>695</v>
      </c>
      <c r="D304" s="2">
        <v>139932947699</v>
      </c>
      <c r="E304" s="2" t="s">
        <v>64</v>
      </c>
      <c r="F304" s="2" t="s">
        <v>146</v>
      </c>
      <c r="G304" s="2" t="s">
        <v>147</v>
      </c>
      <c r="H304" s="2" t="s">
        <v>67</v>
      </c>
      <c r="I304" s="2" t="s">
        <v>38</v>
      </c>
      <c r="J304" s="2">
        <v>25588.29</v>
      </c>
      <c r="K304" s="2" t="s">
        <v>23</v>
      </c>
      <c r="L304" s="3">
        <v>45556</v>
      </c>
      <c r="M304" s="2" t="s">
        <v>24</v>
      </c>
      <c r="N304" s="2">
        <v>1359400.18</v>
      </c>
      <c r="O304" s="2" t="s">
        <v>25</v>
      </c>
      <c r="P304" s="5" t="str">
        <f t="shared" si="20"/>
        <v>2024-09</v>
      </c>
      <c r="Q304">
        <f t="shared" si="21"/>
        <v>-25588.29</v>
      </c>
      <c r="R304">
        <f t="shared" si="22"/>
        <v>0</v>
      </c>
      <c r="S304" t="str">
        <f t="shared" si="23"/>
        <v>Digital</v>
      </c>
      <c r="T304" t="str">
        <f t="shared" si="24"/>
        <v>One-Time User</v>
      </c>
    </row>
    <row r="305" spans="1:20" ht="15.75" customHeight="1" x14ac:dyDescent="0.3">
      <c r="A305" s="2" t="s">
        <v>696</v>
      </c>
      <c r="B305" s="2">
        <v>155800</v>
      </c>
      <c r="C305" s="2" t="s">
        <v>697</v>
      </c>
      <c r="D305" s="2">
        <v>172987559056</v>
      </c>
      <c r="E305" s="2" t="s">
        <v>28</v>
      </c>
      <c r="F305" s="2" t="s">
        <v>150</v>
      </c>
      <c r="G305" s="2" t="s">
        <v>151</v>
      </c>
      <c r="H305" s="2" t="s">
        <v>67</v>
      </c>
      <c r="I305" s="2" t="s">
        <v>53</v>
      </c>
      <c r="J305" s="2">
        <v>488550.1</v>
      </c>
      <c r="K305" s="2" t="s">
        <v>98</v>
      </c>
      <c r="L305" s="3">
        <v>45725</v>
      </c>
      <c r="M305" s="2" t="s">
        <v>24</v>
      </c>
      <c r="N305" s="2">
        <v>1782974.75</v>
      </c>
      <c r="O305" s="2" t="s">
        <v>25</v>
      </c>
      <c r="P305" s="5" t="str">
        <f t="shared" si="20"/>
        <v>2025-03</v>
      </c>
      <c r="Q305">
        <f t="shared" si="21"/>
        <v>488550.1</v>
      </c>
      <c r="R305">
        <f t="shared" si="22"/>
        <v>0</v>
      </c>
      <c r="S305" t="str">
        <f t="shared" si="23"/>
        <v>Cash-Based</v>
      </c>
      <c r="T305" t="str">
        <f t="shared" si="24"/>
        <v>One-Time User</v>
      </c>
    </row>
    <row r="306" spans="1:20" ht="15.75" customHeight="1" x14ac:dyDescent="0.3">
      <c r="A306" s="2" t="s">
        <v>698</v>
      </c>
      <c r="B306" s="2">
        <v>288231</v>
      </c>
      <c r="C306" s="2" t="s">
        <v>699</v>
      </c>
      <c r="D306" s="2">
        <v>275740728802</v>
      </c>
      <c r="E306" s="2" t="s">
        <v>28</v>
      </c>
      <c r="F306" s="2" t="s">
        <v>192</v>
      </c>
      <c r="G306" s="2" t="s">
        <v>193</v>
      </c>
      <c r="H306" s="2" t="s">
        <v>31</v>
      </c>
      <c r="I306" s="2" t="s">
        <v>22</v>
      </c>
      <c r="J306" s="2">
        <v>95620.89</v>
      </c>
      <c r="K306" s="2" t="s">
        <v>32</v>
      </c>
      <c r="L306" s="3">
        <v>45770</v>
      </c>
      <c r="M306" s="2" t="s">
        <v>24</v>
      </c>
      <c r="N306" s="2">
        <v>1185408.31</v>
      </c>
      <c r="O306" s="2" t="s">
        <v>25</v>
      </c>
      <c r="P306" s="5" t="str">
        <f t="shared" si="20"/>
        <v>2025-04</v>
      </c>
      <c r="Q306">
        <f t="shared" si="21"/>
        <v>95620.89</v>
      </c>
      <c r="R306">
        <f t="shared" si="22"/>
        <v>0</v>
      </c>
      <c r="S306" t="str">
        <f t="shared" si="23"/>
        <v>Cash-Based</v>
      </c>
      <c r="T306" t="str">
        <f t="shared" si="24"/>
        <v>One-Time User</v>
      </c>
    </row>
    <row r="307" spans="1:20" ht="15.75" customHeight="1" x14ac:dyDescent="0.3">
      <c r="A307" s="2" t="s">
        <v>700</v>
      </c>
      <c r="B307" s="2">
        <v>990243</v>
      </c>
      <c r="C307" s="2" t="s">
        <v>701</v>
      </c>
      <c r="D307" s="2">
        <v>549737898101</v>
      </c>
      <c r="E307" s="2" t="s">
        <v>91</v>
      </c>
      <c r="F307" s="2" t="s">
        <v>162</v>
      </c>
      <c r="G307" s="2" t="s">
        <v>163</v>
      </c>
      <c r="H307" s="2" t="s">
        <v>31</v>
      </c>
      <c r="I307" s="2" t="s">
        <v>48</v>
      </c>
      <c r="J307" s="2">
        <v>201991.8</v>
      </c>
      <c r="K307" s="2" t="s">
        <v>98</v>
      </c>
      <c r="L307" s="3">
        <v>45391</v>
      </c>
      <c r="M307" s="2" t="s">
        <v>24</v>
      </c>
      <c r="N307" s="2">
        <v>1661830.21</v>
      </c>
      <c r="O307" s="2" t="s">
        <v>25</v>
      </c>
      <c r="P307" s="5" t="str">
        <f t="shared" si="20"/>
        <v>2024-04</v>
      </c>
      <c r="Q307">
        <f t="shared" si="21"/>
        <v>201991.8</v>
      </c>
      <c r="R307">
        <f t="shared" si="22"/>
        <v>0</v>
      </c>
      <c r="S307" t="str">
        <f t="shared" si="23"/>
        <v>Cash-Based</v>
      </c>
      <c r="T307" t="str">
        <f t="shared" si="24"/>
        <v>One-Time User</v>
      </c>
    </row>
    <row r="308" spans="1:20" ht="15.75" customHeight="1" x14ac:dyDescent="0.3">
      <c r="A308" s="2" t="s">
        <v>702</v>
      </c>
      <c r="B308" s="2">
        <v>311363</v>
      </c>
      <c r="C308" s="2" t="s">
        <v>703</v>
      </c>
      <c r="D308" s="2">
        <v>985206008802</v>
      </c>
      <c r="E308" s="2" t="s">
        <v>35</v>
      </c>
      <c r="F308" s="2" t="s">
        <v>42</v>
      </c>
      <c r="G308" s="2" t="s">
        <v>43</v>
      </c>
      <c r="H308" s="2" t="s">
        <v>67</v>
      </c>
      <c r="I308" s="2" t="s">
        <v>22</v>
      </c>
      <c r="J308" s="2">
        <v>460250.13</v>
      </c>
      <c r="K308" s="2" t="s">
        <v>98</v>
      </c>
      <c r="L308" s="3">
        <v>45371</v>
      </c>
      <c r="M308" s="2" t="s">
        <v>24</v>
      </c>
      <c r="N308" s="2">
        <v>1506146.94</v>
      </c>
      <c r="O308" s="2" t="s">
        <v>179</v>
      </c>
      <c r="P308" s="5" t="str">
        <f t="shared" si="20"/>
        <v>2024-03</v>
      </c>
      <c r="Q308">
        <f t="shared" si="21"/>
        <v>460250.13</v>
      </c>
      <c r="R308">
        <f t="shared" si="22"/>
        <v>1</v>
      </c>
      <c r="S308" t="str">
        <f t="shared" si="23"/>
        <v>Cash-Based</v>
      </c>
      <c r="T308" t="str">
        <f t="shared" si="24"/>
        <v>One-Time User</v>
      </c>
    </row>
    <row r="309" spans="1:20" ht="15.75" customHeight="1" x14ac:dyDescent="0.3">
      <c r="A309" s="2" t="s">
        <v>704</v>
      </c>
      <c r="B309" s="2">
        <v>462822</v>
      </c>
      <c r="C309" s="2" t="s">
        <v>705</v>
      </c>
      <c r="D309" s="2">
        <v>119278894333</v>
      </c>
      <c r="E309" s="2" t="s">
        <v>18</v>
      </c>
      <c r="F309" s="2" t="s">
        <v>46</v>
      </c>
      <c r="G309" s="2" t="s">
        <v>47</v>
      </c>
      <c r="H309" s="2" t="s">
        <v>31</v>
      </c>
      <c r="I309" s="2" t="s">
        <v>53</v>
      </c>
      <c r="J309" s="2">
        <v>13160.06</v>
      </c>
      <c r="K309" s="2" t="s">
        <v>23</v>
      </c>
      <c r="L309" s="3">
        <v>45709</v>
      </c>
      <c r="M309" s="2" t="s">
        <v>24</v>
      </c>
      <c r="N309" s="2">
        <v>1579591.09</v>
      </c>
      <c r="O309" s="2" t="s">
        <v>25</v>
      </c>
      <c r="P309" s="5" t="str">
        <f t="shared" si="20"/>
        <v>2025-02</v>
      </c>
      <c r="Q309">
        <f t="shared" si="21"/>
        <v>13160.06</v>
      </c>
      <c r="R309">
        <f t="shared" si="22"/>
        <v>0</v>
      </c>
      <c r="S309" t="str">
        <f t="shared" si="23"/>
        <v>Digital</v>
      </c>
      <c r="T309" t="str">
        <f t="shared" si="24"/>
        <v>One-Time User</v>
      </c>
    </row>
    <row r="310" spans="1:20" ht="15.75" customHeight="1" x14ac:dyDescent="0.3">
      <c r="A310" s="2" t="s">
        <v>706</v>
      </c>
      <c r="B310" s="2">
        <v>712345</v>
      </c>
      <c r="C310" s="2" t="s">
        <v>707</v>
      </c>
      <c r="D310" s="2">
        <v>279271808282</v>
      </c>
      <c r="E310" s="2" t="s">
        <v>35</v>
      </c>
      <c r="F310" s="2" t="s">
        <v>36</v>
      </c>
      <c r="G310" s="2" t="s">
        <v>37</v>
      </c>
      <c r="H310" s="2" t="s">
        <v>21</v>
      </c>
      <c r="I310" s="2" t="s">
        <v>22</v>
      </c>
      <c r="J310" s="2">
        <v>525074.59</v>
      </c>
      <c r="K310" s="2" t="s">
        <v>23</v>
      </c>
      <c r="L310" s="3">
        <v>45315</v>
      </c>
      <c r="M310" s="2" t="s">
        <v>24</v>
      </c>
      <c r="N310" s="2">
        <v>938423.33</v>
      </c>
      <c r="O310" s="2" t="s">
        <v>25</v>
      </c>
      <c r="P310" s="5" t="str">
        <f t="shared" si="20"/>
        <v>2024-01</v>
      </c>
      <c r="Q310">
        <f t="shared" si="21"/>
        <v>525074.59</v>
      </c>
      <c r="R310">
        <f t="shared" si="22"/>
        <v>0</v>
      </c>
      <c r="S310" t="str">
        <f t="shared" si="23"/>
        <v>Digital</v>
      </c>
      <c r="T310" t="str">
        <f t="shared" si="24"/>
        <v>One-Time User</v>
      </c>
    </row>
    <row r="311" spans="1:20" ht="15.75" customHeight="1" x14ac:dyDescent="0.3">
      <c r="A311" s="2" t="s">
        <v>708</v>
      </c>
      <c r="B311" s="2">
        <v>113883</v>
      </c>
      <c r="C311" s="2" t="s">
        <v>709</v>
      </c>
      <c r="D311" s="2">
        <v>823851213066</v>
      </c>
      <c r="E311" s="2" t="s">
        <v>35</v>
      </c>
      <c r="F311" s="2" t="s">
        <v>36</v>
      </c>
      <c r="G311" s="2" t="s">
        <v>37</v>
      </c>
      <c r="H311" s="2" t="s">
        <v>70</v>
      </c>
      <c r="I311" s="2" t="s">
        <v>48</v>
      </c>
      <c r="J311" s="2">
        <v>124890</v>
      </c>
      <c r="K311" s="2" t="s">
        <v>49</v>
      </c>
      <c r="L311" s="3">
        <v>45477</v>
      </c>
      <c r="M311" s="2" t="s">
        <v>24</v>
      </c>
      <c r="N311" s="2">
        <v>431745.3</v>
      </c>
      <c r="O311" s="2" t="s">
        <v>25</v>
      </c>
      <c r="P311" s="5" t="str">
        <f t="shared" si="20"/>
        <v>2024-07</v>
      </c>
      <c r="Q311">
        <f t="shared" si="21"/>
        <v>124890</v>
      </c>
      <c r="R311">
        <f t="shared" si="22"/>
        <v>0</v>
      </c>
      <c r="S311" t="str">
        <f t="shared" si="23"/>
        <v>Cash-Based</v>
      </c>
      <c r="T311" t="str">
        <f t="shared" si="24"/>
        <v>One-Time User</v>
      </c>
    </row>
    <row r="312" spans="1:20" ht="15.75" customHeight="1" x14ac:dyDescent="0.3">
      <c r="A312" s="2" t="s">
        <v>710</v>
      </c>
      <c r="B312" s="2">
        <v>339747</v>
      </c>
      <c r="C312" s="2" t="s">
        <v>711</v>
      </c>
      <c r="D312" s="2">
        <v>702582639068</v>
      </c>
      <c r="E312" s="2" t="s">
        <v>64</v>
      </c>
      <c r="F312" s="2" t="s">
        <v>177</v>
      </c>
      <c r="G312" s="2" t="s">
        <v>178</v>
      </c>
      <c r="H312" s="2" t="s">
        <v>21</v>
      </c>
      <c r="I312" s="2" t="s">
        <v>53</v>
      </c>
      <c r="J312" s="2">
        <v>96128.29</v>
      </c>
      <c r="K312" s="2" t="s">
        <v>98</v>
      </c>
      <c r="L312" s="3">
        <v>45378</v>
      </c>
      <c r="M312" s="2" t="s">
        <v>24</v>
      </c>
      <c r="N312" s="2">
        <v>311631.5</v>
      </c>
      <c r="O312" s="2" t="s">
        <v>25</v>
      </c>
      <c r="P312" s="5" t="str">
        <f t="shared" si="20"/>
        <v>2024-03</v>
      </c>
      <c r="Q312">
        <f t="shared" si="21"/>
        <v>96128.29</v>
      </c>
      <c r="R312">
        <f t="shared" si="22"/>
        <v>0</v>
      </c>
      <c r="S312" t="str">
        <f t="shared" si="23"/>
        <v>Cash-Based</v>
      </c>
      <c r="T312" t="str">
        <f t="shared" si="24"/>
        <v>One-Time User</v>
      </c>
    </row>
    <row r="313" spans="1:20" ht="15.75" customHeight="1" x14ac:dyDescent="0.3">
      <c r="A313" s="2" t="s">
        <v>712</v>
      </c>
      <c r="B313" s="2">
        <v>124171</v>
      </c>
      <c r="C313" s="2" t="s">
        <v>713</v>
      </c>
      <c r="D313" s="2">
        <v>103490076984</v>
      </c>
      <c r="E313" s="2" t="s">
        <v>91</v>
      </c>
      <c r="F313" s="2" t="s">
        <v>105</v>
      </c>
      <c r="G313" s="2" t="s">
        <v>106</v>
      </c>
      <c r="H313" s="2" t="s">
        <v>70</v>
      </c>
      <c r="I313" s="2" t="s">
        <v>48</v>
      </c>
      <c r="J313" s="2">
        <v>78134.240000000005</v>
      </c>
      <c r="K313" s="2" t="s">
        <v>23</v>
      </c>
      <c r="L313" s="3">
        <v>45595</v>
      </c>
      <c r="M313" s="2" t="s">
        <v>24</v>
      </c>
      <c r="N313" s="2">
        <v>1325069.24</v>
      </c>
      <c r="O313" s="2" t="s">
        <v>25</v>
      </c>
      <c r="P313" s="5" t="str">
        <f t="shared" si="20"/>
        <v>2024-10</v>
      </c>
      <c r="Q313">
        <f t="shared" si="21"/>
        <v>78134.240000000005</v>
      </c>
      <c r="R313">
        <f t="shared" si="22"/>
        <v>0</v>
      </c>
      <c r="S313" t="str">
        <f t="shared" si="23"/>
        <v>Digital</v>
      </c>
      <c r="T313" t="str">
        <f t="shared" si="24"/>
        <v>One-Time User</v>
      </c>
    </row>
    <row r="314" spans="1:20" ht="15.75" customHeight="1" x14ac:dyDescent="0.3">
      <c r="A314" s="2" t="s">
        <v>714</v>
      </c>
      <c r="B314" s="2">
        <v>805755</v>
      </c>
      <c r="C314" s="2" t="s">
        <v>715</v>
      </c>
      <c r="D314" s="2">
        <v>490291230378</v>
      </c>
      <c r="E314" s="2" t="s">
        <v>91</v>
      </c>
      <c r="F314" s="2" t="s">
        <v>162</v>
      </c>
      <c r="G314" s="2" t="s">
        <v>163</v>
      </c>
      <c r="H314" s="2" t="s">
        <v>31</v>
      </c>
      <c r="I314" s="2" t="s">
        <v>22</v>
      </c>
      <c r="J314" s="2">
        <v>112622.64</v>
      </c>
      <c r="K314" s="2" t="s">
        <v>98</v>
      </c>
      <c r="L314" s="3">
        <v>45332</v>
      </c>
      <c r="M314" s="2" t="s">
        <v>50</v>
      </c>
      <c r="N314" s="2">
        <v>1684299.3</v>
      </c>
      <c r="O314" s="2" t="s">
        <v>25</v>
      </c>
      <c r="P314" s="5" t="str">
        <f t="shared" si="20"/>
        <v>2024-02</v>
      </c>
      <c r="Q314">
        <f t="shared" si="21"/>
        <v>112622.64</v>
      </c>
      <c r="R314">
        <f t="shared" si="22"/>
        <v>0</v>
      </c>
      <c r="S314" t="str">
        <f t="shared" si="23"/>
        <v>Cash-Based</v>
      </c>
      <c r="T314" t="str">
        <f t="shared" si="24"/>
        <v>One-Time User</v>
      </c>
    </row>
    <row r="315" spans="1:20" ht="15.75" customHeight="1" x14ac:dyDescent="0.3">
      <c r="A315" s="2" t="s">
        <v>716</v>
      </c>
      <c r="B315" s="2">
        <v>596468</v>
      </c>
      <c r="C315" s="2" t="s">
        <v>717</v>
      </c>
      <c r="D315" s="2">
        <v>772077329179</v>
      </c>
      <c r="E315" s="2" t="s">
        <v>64</v>
      </c>
      <c r="F315" s="2" t="s">
        <v>83</v>
      </c>
      <c r="G315" s="2" t="s">
        <v>84</v>
      </c>
      <c r="H315" s="2" t="s">
        <v>31</v>
      </c>
      <c r="I315" s="2" t="s">
        <v>53</v>
      </c>
      <c r="J315" s="2">
        <v>406595</v>
      </c>
      <c r="K315" s="2" t="s">
        <v>49</v>
      </c>
      <c r="L315" s="3">
        <v>45576</v>
      </c>
      <c r="M315" s="2" t="s">
        <v>24</v>
      </c>
      <c r="N315" s="2">
        <v>585059.64</v>
      </c>
      <c r="O315" s="2" t="s">
        <v>25</v>
      </c>
      <c r="P315" s="5" t="str">
        <f t="shared" si="20"/>
        <v>2024-10</v>
      </c>
      <c r="Q315">
        <f t="shared" si="21"/>
        <v>406595</v>
      </c>
      <c r="R315">
        <f t="shared" si="22"/>
        <v>0</v>
      </c>
      <c r="S315" t="str">
        <f t="shared" si="23"/>
        <v>Cash-Based</v>
      </c>
      <c r="T315" t="str">
        <f t="shared" si="24"/>
        <v>One-Time User</v>
      </c>
    </row>
    <row r="316" spans="1:20" ht="15.75" customHeight="1" x14ac:dyDescent="0.3">
      <c r="A316" s="2" t="s">
        <v>718</v>
      </c>
      <c r="B316" s="2">
        <v>111146</v>
      </c>
      <c r="C316" s="2" t="s">
        <v>719</v>
      </c>
      <c r="D316" s="2">
        <v>555859409829</v>
      </c>
      <c r="E316" s="2" t="s">
        <v>91</v>
      </c>
      <c r="F316" s="2" t="s">
        <v>130</v>
      </c>
      <c r="G316" s="2" t="s">
        <v>131</v>
      </c>
      <c r="H316" s="2" t="s">
        <v>67</v>
      </c>
      <c r="I316" s="2" t="s">
        <v>38</v>
      </c>
      <c r="J316" s="2">
        <v>67907.710000000006</v>
      </c>
      <c r="K316" s="2" t="s">
        <v>23</v>
      </c>
      <c r="L316" s="3">
        <v>45829</v>
      </c>
      <c r="M316" s="2" t="s">
        <v>24</v>
      </c>
      <c r="N316" s="2">
        <v>400650.52</v>
      </c>
      <c r="O316" s="2" t="s">
        <v>25</v>
      </c>
      <c r="P316" s="5" t="str">
        <f t="shared" si="20"/>
        <v>2025-06</v>
      </c>
      <c r="Q316">
        <f t="shared" si="21"/>
        <v>-67907.710000000006</v>
      </c>
      <c r="R316">
        <f t="shared" si="22"/>
        <v>0</v>
      </c>
      <c r="S316" t="str">
        <f t="shared" si="23"/>
        <v>Digital</v>
      </c>
      <c r="T316" t="str">
        <f t="shared" si="24"/>
        <v>One-Time User</v>
      </c>
    </row>
    <row r="317" spans="1:20" ht="15.75" customHeight="1" x14ac:dyDescent="0.3">
      <c r="A317" s="2" t="s">
        <v>720</v>
      </c>
      <c r="B317" s="2">
        <v>479530</v>
      </c>
      <c r="C317" s="2" t="s">
        <v>721</v>
      </c>
      <c r="D317" s="2">
        <v>724249667582</v>
      </c>
      <c r="E317" s="2" t="s">
        <v>91</v>
      </c>
      <c r="F317" s="2" t="s">
        <v>105</v>
      </c>
      <c r="G317" s="2" t="s">
        <v>106</v>
      </c>
      <c r="H317" s="2" t="s">
        <v>67</v>
      </c>
      <c r="I317" s="2" t="s">
        <v>38</v>
      </c>
      <c r="J317" s="2">
        <v>7625.81</v>
      </c>
      <c r="K317" s="2" t="s">
        <v>32</v>
      </c>
      <c r="L317" s="3">
        <v>45374</v>
      </c>
      <c r="M317" s="2" t="s">
        <v>24</v>
      </c>
      <c r="N317" s="2">
        <v>788581.85</v>
      </c>
      <c r="O317" s="2" t="s">
        <v>25</v>
      </c>
      <c r="P317" s="5" t="str">
        <f t="shared" si="20"/>
        <v>2024-03</v>
      </c>
      <c r="Q317">
        <f t="shared" si="21"/>
        <v>-7625.81</v>
      </c>
      <c r="R317">
        <f t="shared" si="22"/>
        <v>0</v>
      </c>
      <c r="S317" t="str">
        <f t="shared" si="23"/>
        <v>Cash-Based</v>
      </c>
      <c r="T317" t="str">
        <f t="shared" si="24"/>
        <v>One-Time User</v>
      </c>
    </row>
    <row r="318" spans="1:20" ht="15.75" customHeight="1" x14ac:dyDescent="0.3">
      <c r="A318" s="2" t="s">
        <v>722</v>
      </c>
      <c r="B318" s="2">
        <v>937519</v>
      </c>
      <c r="C318" s="2" t="s">
        <v>723</v>
      </c>
      <c r="D318" s="2">
        <v>902094706216</v>
      </c>
      <c r="E318" s="2" t="s">
        <v>64</v>
      </c>
      <c r="F318" s="2" t="s">
        <v>166</v>
      </c>
      <c r="G318" s="2" t="s">
        <v>167</v>
      </c>
      <c r="H318" s="2" t="s">
        <v>31</v>
      </c>
      <c r="I318" s="2" t="s">
        <v>22</v>
      </c>
      <c r="J318" s="2">
        <v>24749.02</v>
      </c>
      <c r="K318" s="2" t="s">
        <v>39</v>
      </c>
      <c r="L318" s="3">
        <v>45708</v>
      </c>
      <c r="M318" s="2" t="s">
        <v>24</v>
      </c>
      <c r="N318" s="2">
        <v>239240.66</v>
      </c>
      <c r="O318" s="2" t="s">
        <v>25</v>
      </c>
      <c r="P318" s="5" t="str">
        <f t="shared" si="20"/>
        <v>2025-02</v>
      </c>
      <c r="Q318">
        <f t="shared" si="21"/>
        <v>24749.02</v>
      </c>
      <c r="R318">
        <f t="shared" si="22"/>
        <v>0</v>
      </c>
      <c r="S318" t="str">
        <f t="shared" si="23"/>
        <v>Cash-Based</v>
      </c>
      <c r="T318" t="str">
        <f t="shared" si="24"/>
        <v>One-Time User</v>
      </c>
    </row>
    <row r="319" spans="1:20" ht="15.75" customHeight="1" x14ac:dyDescent="0.3">
      <c r="A319" s="2" t="s">
        <v>724</v>
      </c>
      <c r="B319" s="2">
        <v>557246</v>
      </c>
      <c r="C319" s="2" t="s">
        <v>725</v>
      </c>
      <c r="D319" s="2">
        <v>565539620553</v>
      </c>
      <c r="E319" s="2" t="s">
        <v>18</v>
      </c>
      <c r="F319" s="2" t="s">
        <v>19</v>
      </c>
      <c r="G319" s="2" t="s">
        <v>20</v>
      </c>
      <c r="H319" s="2" t="s">
        <v>70</v>
      </c>
      <c r="I319" s="2" t="s">
        <v>38</v>
      </c>
      <c r="J319" s="2">
        <v>46462.29</v>
      </c>
      <c r="K319" s="2" t="s">
        <v>98</v>
      </c>
      <c r="L319" s="3">
        <v>45608</v>
      </c>
      <c r="M319" s="2" t="s">
        <v>24</v>
      </c>
      <c r="N319" s="2">
        <v>1272270</v>
      </c>
      <c r="O319" s="2" t="s">
        <v>25</v>
      </c>
      <c r="P319" s="5" t="str">
        <f t="shared" si="20"/>
        <v>2024-11</v>
      </c>
      <c r="Q319">
        <f t="shared" si="21"/>
        <v>-46462.29</v>
      </c>
      <c r="R319">
        <f t="shared" si="22"/>
        <v>0</v>
      </c>
      <c r="S319" t="str">
        <f t="shared" si="23"/>
        <v>Cash-Based</v>
      </c>
      <c r="T319" t="str">
        <f t="shared" si="24"/>
        <v>One-Time User</v>
      </c>
    </row>
    <row r="320" spans="1:20" ht="15.75" customHeight="1" x14ac:dyDescent="0.3">
      <c r="A320" s="2" t="s">
        <v>726</v>
      </c>
      <c r="B320" s="2">
        <v>959323</v>
      </c>
      <c r="C320" s="2" t="s">
        <v>727</v>
      </c>
      <c r="D320" s="2">
        <v>432335197720</v>
      </c>
      <c r="E320" s="2" t="s">
        <v>28</v>
      </c>
      <c r="F320" s="2" t="s">
        <v>150</v>
      </c>
      <c r="G320" s="2" t="s">
        <v>151</v>
      </c>
      <c r="H320" s="2" t="s">
        <v>21</v>
      </c>
      <c r="I320" s="2" t="s">
        <v>53</v>
      </c>
      <c r="J320" s="2">
        <v>306121.71000000002</v>
      </c>
      <c r="K320" s="2" t="s">
        <v>49</v>
      </c>
      <c r="L320" s="3">
        <v>45338</v>
      </c>
      <c r="M320" s="2" t="s">
        <v>24</v>
      </c>
      <c r="N320" s="2">
        <v>648457.01</v>
      </c>
      <c r="O320" s="2" t="s">
        <v>25</v>
      </c>
      <c r="P320" s="5" t="str">
        <f t="shared" si="20"/>
        <v>2024-02</v>
      </c>
      <c r="Q320">
        <f t="shared" si="21"/>
        <v>306121.71000000002</v>
      </c>
      <c r="R320">
        <f t="shared" si="22"/>
        <v>0</v>
      </c>
      <c r="S320" t="str">
        <f t="shared" si="23"/>
        <v>Cash-Based</v>
      </c>
      <c r="T320" t="str">
        <f t="shared" si="24"/>
        <v>One-Time User</v>
      </c>
    </row>
    <row r="321" spans="1:20" ht="15.75" customHeight="1" x14ac:dyDescent="0.3">
      <c r="A321" s="2" t="s">
        <v>728</v>
      </c>
      <c r="B321" s="2">
        <v>931835</v>
      </c>
      <c r="C321" s="2" t="s">
        <v>729</v>
      </c>
      <c r="D321" s="2">
        <v>130206487294</v>
      </c>
      <c r="E321" s="2" t="s">
        <v>35</v>
      </c>
      <c r="F321" s="2" t="s">
        <v>73</v>
      </c>
      <c r="G321" s="2" t="s">
        <v>74</v>
      </c>
      <c r="H321" s="2" t="s">
        <v>67</v>
      </c>
      <c r="I321" s="2" t="s">
        <v>38</v>
      </c>
      <c r="J321" s="2">
        <v>26846.38</v>
      </c>
      <c r="K321" s="2" t="s">
        <v>32</v>
      </c>
      <c r="L321" s="3">
        <v>45716</v>
      </c>
      <c r="M321" s="2" t="s">
        <v>24</v>
      </c>
      <c r="N321" s="2">
        <v>278385.8</v>
      </c>
      <c r="O321" s="2" t="s">
        <v>25</v>
      </c>
      <c r="P321" s="5" t="str">
        <f t="shared" si="20"/>
        <v>2025-02</v>
      </c>
      <c r="Q321">
        <f t="shared" si="21"/>
        <v>-26846.38</v>
      </c>
      <c r="R321">
        <f t="shared" si="22"/>
        <v>0</v>
      </c>
      <c r="S321" t="str">
        <f t="shared" si="23"/>
        <v>Cash-Based</v>
      </c>
      <c r="T321" t="str">
        <f t="shared" si="24"/>
        <v>One-Time User</v>
      </c>
    </row>
    <row r="322" spans="1:20" ht="15.75" customHeight="1" x14ac:dyDescent="0.3">
      <c r="A322" s="2" t="s">
        <v>730</v>
      </c>
      <c r="B322" s="2">
        <v>181715</v>
      </c>
      <c r="C322" s="2" t="s">
        <v>731</v>
      </c>
      <c r="D322" s="2">
        <v>924632714359</v>
      </c>
      <c r="E322" s="2" t="s">
        <v>18</v>
      </c>
      <c r="F322" s="2" t="s">
        <v>19</v>
      </c>
      <c r="G322" s="2" t="s">
        <v>20</v>
      </c>
      <c r="H322" s="2" t="s">
        <v>31</v>
      </c>
      <c r="I322" s="2" t="s">
        <v>22</v>
      </c>
      <c r="J322" s="2">
        <v>181640.7</v>
      </c>
      <c r="K322" s="2" t="s">
        <v>98</v>
      </c>
      <c r="L322" s="3">
        <v>45537</v>
      </c>
      <c r="M322" s="2" t="s">
        <v>24</v>
      </c>
      <c r="N322" s="2">
        <v>458407.24</v>
      </c>
      <c r="O322" s="2" t="s">
        <v>25</v>
      </c>
      <c r="P322" s="5" t="str">
        <f t="shared" si="20"/>
        <v>2024-09</v>
      </c>
      <c r="Q322">
        <f t="shared" si="21"/>
        <v>181640.7</v>
      </c>
      <c r="R322">
        <f t="shared" si="22"/>
        <v>0</v>
      </c>
      <c r="S322" t="str">
        <f t="shared" si="23"/>
        <v>Cash-Based</v>
      </c>
      <c r="T322" t="str">
        <f t="shared" si="24"/>
        <v>One-Time User</v>
      </c>
    </row>
    <row r="323" spans="1:20" ht="15.75" customHeight="1" x14ac:dyDescent="0.3">
      <c r="A323" s="2" t="s">
        <v>732</v>
      </c>
      <c r="B323" s="2">
        <v>300670</v>
      </c>
      <c r="C323" s="2" t="s">
        <v>733</v>
      </c>
      <c r="D323" s="2">
        <v>477182324308</v>
      </c>
      <c r="E323" s="2" t="s">
        <v>91</v>
      </c>
      <c r="F323" s="2" t="s">
        <v>105</v>
      </c>
      <c r="G323" s="2" t="s">
        <v>106</v>
      </c>
      <c r="H323" s="2" t="s">
        <v>70</v>
      </c>
      <c r="I323" s="2" t="s">
        <v>53</v>
      </c>
      <c r="J323" s="2">
        <v>17763.02</v>
      </c>
      <c r="K323" s="2" t="s">
        <v>98</v>
      </c>
      <c r="L323" s="3">
        <v>45413</v>
      </c>
      <c r="M323" s="2" t="s">
        <v>24</v>
      </c>
      <c r="N323" s="2">
        <v>841969.9</v>
      </c>
      <c r="O323" s="2" t="s">
        <v>25</v>
      </c>
      <c r="P323" s="5" t="str">
        <f t="shared" ref="P323:P386" si="25">TEXT(L323,"yyyy-mm")</f>
        <v>2024-05</v>
      </c>
      <c r="Q323">
        <f t="shared" ref="Q323:Q386" si="26">IF(I323="Withdrawal",-J323,J323)</f>
        <v>17763.02</v>
      </c>
      <c r="R323">
        <f t="shared" ref="R323:R386" si="27">IF(O323="Yes",1,0)</f>
        <v>0</v>
      </c>
      <c r="S323" t="str">
        <f t="shared" ref="S323:S386" si="28">IF(OR(K323="ATM",K323="Mobile App",K323="UPI"),"Digital",IF(K323="Branch","Branch-Driven","Cash-Based"))</f>
        <v>Cash-Based</v>
      </c>
      <c r="T323" t="str">
        <f t="shared" ref="T323:T386" si="29">IF(COUNTIF($C:$C,C323)&gt;1,"Frequent Transactor","One-Time User")</f>
        <v>One-Time User</v>
      </c>
    </row>
    <row r="324" spans="1:20" ht="15.75" customHeight="1" x14ac:dyDescent="0.3">
      <c r="A324" s="2" t="s">
        <v>734</v>
      </c>
      <c r="B324" s="2">
        <v>405161</v>
      </c>
      <c r="C324" s="2" t="s">
        <v>735</v>
      </c>
      <c r="D324" s="2">
        <v>476384442388</v>
      </c>
      <c r="E324" s="2" t="s">
        <v>91</v>
      </c>
      <c r="F324" s="2" t="s">
        <v>109</v>
      </c>
      <c r="G324" s="2" t="s">
        <v>110</v>
      </c>
      <c r="H324" s="2" t="s">
        <v>67</v>
      </c>
      <c r="I324" s="2" t="s">
        <v>22</v>
      </c>
      <c r="J324" s="2">
        <v>367978.86</v>
      </c>
      <c r="K324" s="2" t="s">
        <v>23</v>
      </c>
      <c r="L324" s="3">
        <v>45248</v>
      </c>
      <c r="M324" s="2" t="s">
        <v>24</v>
      </c>
      <c r="N324" s="2">
        <v>840788.77</v>
      </c>
      <c r="O324" s="2" t="s">
        <v>25</v>
      </c>
      <c r="P324" s="5" t="str">
        <f t="shared" si="25"/>
        <v>2023-11</v>
      </c>
      <c r="Q324">
        <f t="shared" si="26"/>
        <v>367978.86</v>
      </c>
      <c r="R324">
        <f t="shared" si="27"/>
        <v>0</v>
      </c>
      <c r="S324" t="str">
        <f t="shared" si="28"/>
        <v>Digital</v>
      </c>
      <c r="T324" t="str">
        <f t="shared" si="29"/>
        <v>One-Time User</v>
      </c>
    </row>
    <row r="325" spans="1:20" ht="15.75" customHeight="1" x14ac:dyDescent="0.3">
      <c r="A325" s="2" t="s">
        <v>736</v>
      </c>
      <c r="B325" s="2">
        <v>981665</v>
      </c>
      <c r="C325" s="2" t="s">
        <v>737</v>
      </c>
      <c r="D325" s="2">
        <v>126907120490</v>
      </c>
      <c r="E325" s="2" t="s">
        <v>35</v>
      </c>
      <c r="F325" s="2" t="s">
        <v>136</v>
      </c>
      <c r="G325" s="2" t="s">
        <v>137</v>
      </c>
      <c r="H325" s="2" t="s">
        <v>31</v>
      </c>
      <c r="I325" s="2" t="s">
        <v>22</v>
      </c>
      <c r="J325" s="2">
        <v>212325.1</v>
      </c>
      <c r="K325" s="2" t="s">
        <v>23</v>
      </c>
      <c r="L325" s="3">
        <v>45761</v>
      </c>
      <c r="M325" s="2" t="s">
        <v>24</v>
      </c>
      <c r="N325" s="2">
        <v>1118140.79</v>
      </c>
      <c r="O325" s="2" t="s">
        <v>25</v>
      </c>
      <c r="P325" s="5" t="str">
        <f t="shared" si="25"/>
        <v>2025-04</v>
      </c>
      <c r="Q325">
        <f t="shared" si="26"/>
        <v>212325.1</v>
      </c>
      <c r="R325">
        <f t="shared" si="27"/>
        <v>0</v>
      </c>
      <c r="S325" t="str">
        <f t="shared" si="28"/>
        <v>Digital</v>
      </c>
      <c r="T325" t="str">
        <f t="shared" si="29"/>
        <v>One-Time User</v>
      </c>
    </row>
    <row r="326" spans="1:20" ht="15.75" customHeight="1" x14ac:dyDescent="0.3">
      <c r="A326" s="2" t="s">
        <v>738</v>
      </c>
      <c r="B326" s="2">
        <v>355753</v>
      </c>
      <c r="C326" s="2" t="s">
        <v>739</v>
      </c>
      <c r="D326" s="2">
        <v>882143942859</v>
      </c>
      <c r="E326" s="2" t="s">
        <v>18</v>
      </c>
      <c r="F326" s="2" t="s">
        <v>87</v>
      </c>
      <c r="G326" s="2" t="s">
        <v>88</v>
      </c>
      <c r="H326" s="2" t="s">
        <v>21</v>
      </c>
      <c r="I326" s="2" t="s">
        <v>38</v>
      </c>
      <c r="J326" s="2">
        <v>47698.28</v>
      </c>
      <c r="K326" s="2" t="s">
        <v>32</v>
      </c>
      <c r="L326" s="3">
        <v>45434</v>
      </c>
      <c r="M326" s="2" t="s">
        <v>24</v>
      </c>
      <c r="N326" s="2">
        <v>642724.73</v>
      </c>
      <c r="O326" s="2" t="s">
        <v>25</v>
      </c>
      <c r="P326" s="5" t="str">
        <f t="shared" si="25"/>
        <v>2024-05</v>
      </c>
      <c r="Q326">
        <f t="shared" si="26"/>
        <v>-47698.28</v>
      </c>
      <c r="R326">
        <f t="shared" si="27"/>
        <v>0</v>
      </c>
      <c r="S326" t="str">
        <f t="shared" si="28"/>
        <v>Cash-Based</v>
      </c>
      <c r="T326" t="str">
        <f t="shared" si="29"/>
        <v>One-Time User</v>
      </c>
    </row>
    <row r="327" spans="1:20" ht="15.75" customHeight="1" x14ac:dyDescent="0.3">
      <c r="A327" s="2" t="s">
        <v>740</v>
      </c>
      <c r="B327" s="2">
        <v>159266</v>
      </c>
      <c r="C327" s="2" t="s">
        <v>741</v>
      </c>
      <c r="D327" s="2">
        <v>133268629842</v>
      </c>
      <c r="E327" s="2" t="s">
        <v>28</v>
      </c>
      <c r="F327" s="2" t="s">
        <v>79</v>
      </c>
      <c r="G327" s="2" t="s">
        <v>80</v>
      </c>
      <c r="H327" s="2" t="s">
        <v>70</v>
      </c>
      <c r="I327" s="2" t="s">
        <v>48</v>
      </c>
      <c r="J327" s="2">
        <v>163974.37</v>
      </c>
      <c r="K327" s="2" t="s">
        <v>23</v>
      </c>
      <c r="L327" s="3">
        <v>45618</v>
      </c>
      <c r="M327" s="2" t="s">
        <v>24</v>
      </c>
      <c r="N327" s="2">
        <v>2009108.15</v>
      </c>
      <c r="O327" s="2" t="s">
        <v>25</v>
      </c>
      <c r="P327" s="5" t="str">
        <f t="shared" si="25"/>
        <v>2024-11</v>
      </c>
      <c r="Q327">
        <f t="shared" si="26"/>
        <v>163974.37</v>
      </c>
      <c r="R327">
        <f t="shared" si="27"/>
        <v>0</v>
      </c>
      <c r="S327" t="str">
        <f t="shared" si="28"/>
        <v>Digital</v>
      </c>
      <c r="T327" t="str">
        <f t="shared" si="29"/>
        <v>One-Time User</v>
      </c>
    </row>
    <row r="328" spans="1:20" ht="15.75" customHeight="1" x14ac:dyDescent="0.3">
      <c r="A328" s="2" t="s">
        <v>742</v>
      </c>
      <c r="B328" s="2">
        <v>879301</v>
      </c>
      <c r="C328" s="2" t="s">
        <v>743</v>
      </c>
      <c r="D328" s="2">
        <v>433805514591</v>
      </c>
      <c r="E328" s="2" t="s">
        <v>35</v>
      </c>
      <c r="F328" s="2" t="s">
        <v>42</v>
      </c>
      <c r="G328" s="2" t="s">
        <v>43</v>
      </c>
      <c r="H328" s="2" t="s">
        <v>67</v>
      </c>
      <c r="I328" s="2" t="s">
        <v>22</v>
      </c>
      <c r="J328" s="2">
        <v>189190.47</v>
      </c>
      <c r="K328" s="2" t="s">
        <v>39</v>
      </c>
      <c r="L328" s="3">
        <v>45599</v>
      </c>
      <c r="M328" s="2" t="s">
        <v>24</v>
      </c>
      <c r="N328" s="2">
        <v>1036192.27</v>
      </c>
      <c r="O328" s="2" t="s">
        <v>25</v>
      </c>
      <c r="P328" s="5" t="str">
        <f t="shared" si="25"/>
        <v>2024-11</v>
      </c>
      <c r="Q328">
        <f t="shared" si="26"/>
        <v>189190.47</v>
      </c>
      <c r="R328">
        <f t="shared" si="27"/>
        <v>0</v>
      </c>
      <c r="S328" t="str">
        <f t="shared" si="28"/>
        <v>Cash-Based</v>
      </c>
      <c r="T328" t="str">
        <f t="shared" si="29"/>
        <v>One-Time User</v>
      </c>
    </row>
    <row r="329" spans="1:20" ht="15.75" customHeight="1" x14ac:dyDescent="0.3">
      <c r="A329" s="2" t="s">
        <v>744</v>
      </c>
      <c r="B329" s="2">
        <v>116476</v>
      </c>
      <c r="C329" s="2" t="s">
        <v>745</v>
      </c>
      <c r="D329" s="2">
        <v>406498403510</v>
      </c>
      <c r="E329" s="2" t="s">
        <v>91</v>
      </c>
      <c r="F329" s="2" t="s">
        <v>162</v>
      </c>
      <c r="G329" s="2" t="s">
        <v>163</v>
      </c>
      <c r="H329" s="2" t="s">
        <v>31</v>
      </c>
      <c r="I329" s="2" t="s">
        <v>53</v>
      </c>
      <c r="J329" s="2">
        <v>129890.57</v>
      </c>
      <c r="K329" s="2" t="s">
        <v>23</v>
      </c>
      <c r="L329" s="3">
        <v>45598</v>
      </c>
      <c r="M329" s="2" t="s">
        <v>24</v>
      </c>
      <c r="N329" s="2">
        <v>1438950.54</v>
      </c>
      <c r="O329" s="2" t="s">
        <v>25</v>
      </c>
      <c r="P329" s="5" t="str">
        <f t="shared" si="25"/>
        <v>2024-11</v>
      </c>
      <c r="Q329">
        <f t="shared" si="26"/>
        <v>129890.57</v>
      </c>
      <c r="R329">
        <f t="shared" si="27"/>
        <v>0</v>
      </c>
      <c r="S329" t="str">
        <f t="shared" si="28"/>
        <v>Digital</v>
      </c>
      <c r="T329" t="str">
        <f t="shared" si="29"/>
        <v>One-Time User</v>
      </c>
    </row>
    <row r="330" spans="1:20" ht="15.75" customHeight="1" x14ac:dyDescent="0.3">
      <c r="A330" s="2" t="s">
        <v>746</v>
      </c>
      <c r="B330" s="2">
        <v>981915</v>
      </c>
      <c r="C330" s="2" t="s">
        <v>747</v>
      </c>
      <c r="D330" s="2">
        <v>577554548613</v>
      </c>
      <c r="E330" s="2" t="s">
        <v>28</v>
      </c>
      <c r="F330" s="2" t="s">
        <v>150</v>
      </c>
      <c r="G330" s="2" t="s">
        <v>151</v>
      </c>
      <c r="H330" s="2" t="s">
        <v>31</v>
      </c>
      <c r="I330" s="2" t="s">
        <v>48</v>
      </c>
      <c r="J330" s="2">
        <v>254514.65</v>
      </c>
      <c r="K330" s="2" t="s">
        <v>49</v>
      </c>
      <c r="L330" s="3">
        <v>45153</v>
      </c>
      <c r="M330" s="2" t="s">
        <v>24</v>
      </c>
      <c r="N330" s="2">
        <v>318461.15000000002</v>
      </c>
      <c r="O330" s="2" t="s">
        <v>25</v>
      </c>
      <c r="P330" s="5" t="str">
        <f t="shared" si="25"/>
        <v>2023-08</v>
      </c>
      <c r="Q330">
        <f t="shared" si="26"/>
        <v>254514.65</v>
      </c>
      <c r="R330">
        <f t="shared" si="27"/>
        <v>0</v>
      </c>
      <c r="S330" t="str">
        <f t="shared" si="28"/>
        <v>Cash-Based</v>
      </c>
      <c r="T330" t="str">
        <f t="shared" si="29"/>
        <v>One-Time User</v>
      </c>
    </row>
    <row r="331" spans="1:20" ht="15.75" customHeight="1" x14ac:dyDescent="0.3">
      <c r="A331" s="2" t="s">
        <v>748</v>
      </c>
      <c r="B331" s="2">
        <v>569629</v>
      </c>
      <c r="C331" s="2" t="s">
        <v>749</v>
      </c>
      <c r="D331" s="2">
        <v>884210811039</v>
      </c>
      <c r="E331" s="2" t="s">
        <v>64</v>
      </c>
      <c r="F331" s="2" t="s">
        <v>166</v>
      </c>
      <c r="G331" s="2" t="s">
        <v>167</v>
      </c>
      <c r="H331" s="2" t="s">
        <v>31</v>
      </c>
      <c r="I331" s="2" t="s">
        <v>38</v>
      </c>
      <c r="J331" s="2">
        <v>95419.02</v>
      </c>
      <c r="K331" s="2" t="s">
        <v>98</v>
      </c>
      <c r="L331" s="3">
        <v>45185</v>
      </c>
      <c r="M331" s="2" t="s">
        <v>24</v>
      </c>
      <c r="N331" s="2">
        <v>167769.03</v>
      </c>
      <c r="O331" s="2" t="s">
        <v>25</v>
      </c>
      <c r="P331" s="5" t="str">
        <f t="shared" si="25"/>
        <v>2023-09</v>
      </c>
      <c r="Q331">
        <f t="shared" si="26"/>
        <v>-95419.02</v>
      </c>
      <c r="R331">
        <f t="shared" si="27"/>
        <v>0</v>
      </c>
      <c r="S331" t="str">
        <f t="shared" si="28"/>
        <v>Cash-Based</v>
      </c>
      <c r="T331" t="str">
        <f t="shared" si="29"/>
        <v>One-Time User</v>
      </c>
    </row>
    <row r="332" spans="1:20" ht="15.75" customHeight="1" x14ac:dyDescent="0.3">
      <c r="A332" s="2" t="s">
        <v>750</v>
      </c>
      <c r="B332" s="2">
        <v>143218</v>
      </c>
      <c r="C332" s="2" t="s">
        <v>751</v>
      </c>
      <c r="D332" s="2">
        <v>428200261572</v>
      </c>
      <c r="E332" s="2" t="s">
        <v>35</v>
      </c>
      <c r="F332" s="2" t="s">
        <v>136</v>
      </c>
      <c r="G332" s="2" t="s">
        <v>137</v>
      </c>
      <c r="H332" s="2" t="s">
        <v>67</v>
      </c>
      <c r="I332" s="2" t="s">
        <v>38</v>
      </c>
      <c r="J332" s="2">
        <v>58414.13</v>
      </c>
      <c r="K332" s="2" t="s">
        <v>98</v>
      </c>
      <c r="L332" s="3">
        <v>45835</v>
      </c>
      <c r="M332" s="2" t="s">
        <v>24</v>
      </c>
      <c r="N332" s="2">
        <v>918862.34</v>
      </c>
      <c r="O332" s="2" t="s">
        <v>25</v>
      </c>
      <c r="P332" s="5" t="str">
        <f t="shared" si="25"/>
        <v>2025-06</v>
      </c>
      <c r="Q332">
        <f t="shared" si="26"/>
        <v>-58414.13</v>
      </c>
      <c r="R332">
        <f t="shared" si="27"/>
        <v>0</v>
      </c>
      <c r="S332" t="str">
        <f t="shared" si="28"/>
        <v>Cash-Based</v>
      </c>
      <c r="T332" t="str">
        <f t="shared" si="29"/>
        <v>One-Time User</v>
      </c>
    </row>
    <row r="333" spans="1:20" ht="15.75" customHeight="1" x14ac:dyDescent="0.3">
      <c r="A333" s="2" t="s">
        <v>752</v>
      </c>
      <c r="B333" s="2">
        <v>985381</v>
      </c>
      <c r="C333" s="2" t="s">
        <v>753</v>
      </c>
      <c r="D333" s="2">
        <v>113639393827</v>
      </c>
      <c r="E333" s="2" t="s">
        <v>91</v>
      </c>
      <c r="F333" s="2" t="s">
        <v>109</v>
      </c>
      <c r="G333" s="2" t="s">
        <v>110</v>
      </c>
      <c r="H333" s="2" t="s">
        <v>31</v>
      </c>
      <c r="I333" s="2" t="s">
        <v>53</v>
      </c>
      <c r="J333" s="2">
        <v>469814.95</v>
      </c>
      <c r="K333" s="2" t="s">
        <v>49</v>
      </c>
      <c r="L333" s="3">
        <v>45131</v>
      </c>
      <c r="M333" s="2" t="s">
        <v>50</v>
      </c>
      <c r="N333" s="2">
        <v>1904176.83</v>
      </c>
      <c r="O333" s="2" t="s">
        <v>25</v>
      </c>
      <c r="P333" s="5" t="str">
        <f t="shared" si="25"/>
        <v>2023-07</v>
      </c>
      <c r="Q333">
        <f t="shared" si="26"/>
        <v>469814.95</v>
      </c>
      <c r="R333">
        <f t="shared" si="27"/>
        <v>0</v>
      </c>
      <c r="S333" t="str">
        <f t="shared" si="28"/>
        <v>Cash-Based</v>
      </c>
      <c r="T333" t="str">
        <f t="shared" si="29"/>
        <v>One-Time User</v>
      </c>
    </row>
    <row r="334" spans="1:20" ht="15.75" customHeight="1" x14ac:dyDescent="0.3">
      <c r="A334" s="2" t="s">
        <v>754</v>
      </c>
      <c r="B334" s="2">
        <v>894517</v>
      </c>
      <c r="C334" s="2" t="s">
        <v>755</v>
      </c>
      <c r="D334" s="2">
        <v>633651930756</v>
      </c>
      <c r="E334" s="2" t="s">
        <v>28</v>
      </c>
      <c r="F334" s="2" t="s">
        <v>216</v>
      </c>
      <c r="G334" s="2" t="s">
        <v>217</v>
      </c>
      <c r="H334" s="2" t="s">
        <v>21</v>
      </c>
      <c r="I334" s="2" t="s">
        <v>53</v>
      </c>
      <c r="J334" s="2">
        <v>202988.35</v>
      </c>
      <c r="K334" s="2" t="s">
        <v>39</v>
      </c>
      <c r="L334" s="3">
        <v>45268</v>
      </c>
      <c r="M334" s="2" t="s">
        <v>24</v>
      </c>
      <c r="N334" s="2">
        <v>1426448.54</v>
      </c>
      <c r="O334" s="2" t="s">
        <v>25</v>
      </c>
      <c r="P334" s="5" t="str">
        <f t="shared" si="25"/>
        <v>2023-12</v>
      </c>
      <c r="Q334">
        <f t="shared" si="26"/>
        <v>202988.35</v>
      </c>
      <c r="R334">
        <f t="shared" si="27"/>
        <v>0</v>
      </c>
      <c r="S334" t="str">
        <f t="shared" si="28"/>
        <v>Cash-Based</v>
      </c>
      <c r="T334" t="str">
        <f t="shared" si="29"/>
        <v>One-Time User</v>
      </c>
    </row>
    <row r="335" spans="1:20" ht="15.75" customHeight="1" x14ac:dyDescent="0.3">
      <c r="A335" s="2" t="s">
        <v>756</v>
      </c>
      <c r="B335" s="2">
        <v>179518</v>
      </c>
      <c r="C335" s="2" t="s">
        <v>757</v>
      </c>
      <c r="D335" s="2">
        <v>388268391021</v>
      </c>
      <c r="E335" s="2" t="s">
        <v>35</v>
      </c>
      <c r="F335" s="2" t="s">
        <v>60</v>
      </c>
      <c r="G335" s="2" t="s">
        <v>61</v>
      </c>
      <c r="H335" s="2" t="s">
        <v>31</v>
      </c>
      <c r="I335" s="2" t="s">
        <v>38</v>
      </c>
      <c r="J335" s="2">
        <v>68829.84</v>
      </c>
      <c r="K335" s="2" t="s">
        <v>32</v>
      </c>
      <c r="L335" s="3">
        <v>45705</v>
      </c>
      <c r="M335" s="2" t="s">
        <v>24</v>
      </c>
      <c r="N335" s="2">
        <v>5539.5400000000081</v>
      </c>
      <c r="O335" s="2" t="s">
        <v>25</v>
      </c>
      <c r="P335" s="5" t="str">
        <f t="shared" si="25"/>
        <v>2025-02</v>
      </c>
      <c r="Q335">
        <f t="shared" si="26"/>
        <v>-68829.84</v>
      </c>
      <c r="R335">
        <f t="shared" si="27"/>
        <v>0</v>
      </c>
      <c r="S335" t="str">
        <f t="shared" si="28"/>
        <v>Cash-Based</v>
      </c>
      <c r="T335" t="str">
        <f t="shared" si="29"/>
        <v>One-Time User</v>
      </c>
    </row>
    <row r="336" spans="1:20" ht="15.75" customHeight="1" x14ac:dyDescent="0.3">
      <c r="A336" s="2" t="s">
        <v>758</v>
      </c>
      <c r="B336" s="2">
        <v>224498</v>
      </c>
      <c r="C336" s="2" t="s">
        <v>759</v>
      </c>
      <c r="D336" s="2">
        <v>600039500647</v>
      </c>
      <c r="E336" s="2" t="s">
        <v>28</v>
      </c>
      <c r="F336" s="2" t="s">
        <v>29</v>
      </c>
      <c r="G336" s="2" t="s">
        <v>30</v>
      </c>
      <c r="H336" s="2" t="s">
        <v>67</v>
      </c>
      <c r="I336" s="2" t="s">
        <v>22</v>
      </c>
      <c r="J336" s="2">
        <v>276312.31</v>
      </c>
      <c r="K336" s="2" t="s">
        <v>39</v>
      </c>
      <c r="L336" s="3">
        <v>45644</v>
      </c>
      <c r="M336" s="2" t="s">
        <v>24</v>
      </c>
      <c r="N336" s="2">
        <v>696392.16999999993</v>
      </c>
      <c r="O336" s="2" t="s">
        <v>25</v>
      </c>
      <c r="P336" s="5" t="str">
        <f t="shared" si="25"/>
        <v>2024-12</v>
      </c>
      <c r="Q336">
        <f t="shared" si="26"/>
        <v>276312.31</v>
      </c>
      <c r="R336">
        <f t="shared" si="27"/>
        <v>0</v>
      </c>
      <c r="S336" t="str">
        <f t="shared" si="28"/>
        <v>Cash-Based</v>
      </c>
      <c r="T336" t="str">
        <f t="shared" si="29"/>
        <v>One-Time User</v>
      </c>
    </row>
    <row r="337" spans="1:20" ht="15.75" customHeight="1" x14ac:dyDescent="0.3">
      <c r="A337" s="2" t="s">
        <v>760</v>
      </c>
      <c r="B337" s="2">
        <v>373993</v>
      </c>
      <c r="C337" s="2" t="s">
        <v>761</v>
      </c>
      <c r="D337" s="2">
        <v>434312755539</v>
      </c>
      <c r="E337" s="2" t="s">
        <v>91</v>
      </c>
      <c r="F337" s="2" t="s">
        <v>109</v>
      </c>
      <c r="G337" s="2" t="s">
        <v>110</v>
      </c>
      <c r="H337" s="2" t="s">
        <v>31</v>
      </c>
      <c r="I337" s="2" t="s">
        <v>38</v>
      </c>
      <c r="J337" s="2">
        <v>7769.1</v>
      </c>
      <c r="K337" s="2" t="s">
        <v>32</v>
      </c>
      <c r="L337" s="3">
        <v>45686</v>
      </c>
      <c r="M337" s="2" t="s">
        <v>24</v>
      </c>
      <c r="N337" s="2">
        <v>89554.579999999987</v>
      </c>
      <c r="O337" s="2" t="s">
        <v>25</v>
      </c>
      <c r="P337" s="5" t="str">
        <f t="shared" si="25"/>
        <v>2025-01</v>
      </c>
      <c r="Q337">
        <f t="shared" si="26"/>
        <v>-7769.1</v>
      </c>
      <c r="R337">
        <f t="shared" si="27"/>
        <v>0</v>
      </c>
      <c r="S337" t="str">
        <f t="shared" si="28"/>
        <v>Cash-Based</v>
      </c>
      <c r="T337" t="str">
        <f t="shared" si="29"/>
        <v>One-Time User</v>
      </c>
    </row>
    <row r="338" spans="1:20" ht="15.75" customHeight="1" x14ac:dyDescent="0.3">
      <c r="A338" s="2" t="s">
        <v>762</v>
      </c>
      <c r="B338" s="2">
        <v>445390</v>
      </c>
      <c r="C338" s="2" t="s">
        <v>763</v>
      </c>
      <c r="D338" s="2">
        <v>834906079344</v>
      </c>
      <c r="E338" s="2" t="s">
        <v>64</v>
      </c>
      <c r="F338" s="2" t="s">
        <v>177</v>
      </c>
      <c r="G338" s="2" t="s">
        <v>178</v>
      </c>
      <c r="H338" s="2" t="s">
        <v>21</v>
      </c>
      <c r="I338" s="2" t="s">
        <v>22</v>
      </c>
      <c r="J338" s="2">
        <v>496927.6</v>
      </c>
      <c r="K338" s="2" t="s">
        <v>98</v>
      </c>
      <c r="L338" s="3">
        <v>45818</v>
      </c>
      <c r="M338" s="2" t="s">
        <v>24</v>
      </c>
      <c r="N338" s="2">
        <v>1643914.5</v>
      </c>
      <c r="O338" s="2" t="s">
        <v>25</v>
      </c>
      <c r="P338" s="5" t="str">
        <f t="shared" si="25"/>
        <v>2025-06</v>
      </c>
      <c r="Q338">
        <f t="shared" si="26"/>
        <v>496927.6</v>
      </c>
      <c r="R338">
        <f t="shared" si="27"/>
        <v>0</v>
      </c>
      <c r="S338" t="str">
        <f t="shared" si="28"/>
        <v>Cash-Based</v>
      </c>
      <c r="T338" t="str">
        <f t="shared" si="29"/>
        <v>One-Time User</v>
      </c>
    </row>
    <row r="339" spans="1:20" ht="15.75" customHeight="1" x14ac:dyDescent="0.3">
      <c r="A339" s="2" t="s">
        <v>764</v>
      </c>
      <c r="B339" s="2">
        <v>392598</v>
      </c>
      <c r="C339" s="2" t="s">
        <v>765</v>
      </c>
      <c r="D339" s="2">
        <v>507228613971</v>
      </c>
      <c r="E339" s="2" t="s">
        <v>91</v>
      </c>
      <c r="F339" s="2" t="s">
        <v>109</v>
      </c>
      <c r="G339" s="2" t="s">
        <v>110</v>
      </c>
      <c r="H339" s="2" t="s">
        <v>21</v>
      </c>
      <c r="I339" s="2" t="s">
        <v>38</v>
      </c>
      <c r="J339" s="2">
        <v>26907.46</v>
      </c>
      <c r="K339" s="2" t="s">
        <v>98</v>
      </c>
      <c r="L339" s="3">
        <v>45679</v>
      </c>
      <c r="M339" s="2" t="s">
        <v>24</v>
      </c>
      <c r="N339" s="2">
        <v>1359303.82</v>
      </c>
      <c r="O339" s="2" t="s">
        <v>25</v>
      </c>
      <c r="P339" s="5" t="str">
        <f t="shared" si="25"/>
        <v>2025-01</v>
      </c>
      <c r="Q339">
        <f t="shared" si="26"/>
        <v>-26907.46</v>
      </c>
      <c r="R339">
        <f t="shared" si="27"/>
        <v>0</v>
      </c>
      <c r="S339" t="str">
        <f t="shared" si="28"/>
        <v>Cash-Based</v>
      </c>
      <c r="T339" t="str">
        <f t="shared" si="29"/>
        <v>One-Time User</v>
      </c>
    </row>
    <row r="340" spans="1:20" ht="15.75" customHeight="1" x14ac:dyDescent="0.3">
      <c r="A340" s="2" t="s">
        <v>766</v>
      </c>
      <c r="B340" s="2">
        <v>627322</v>
      </c>
      <c r="C340" s="2" t="s">
        <v>767</v>
      </c>
      <c r="D340" s="2">
        <v>197653048874</v>
      </c>
      <c r="E340" s="2" t="s">
        <v>91</v>
      </c>
      <c r="F340" s="2" t="s">
        <v>162</v>
      </c>
      <c r="G340" s="2" t="s">
        <v>163</v>
      </c>
      <c r="H340" s="2" t="s">
        <v>31</v>
      </c>
      <c r="I340" s="2" t="s">
        <v>53</v>
      </c>
      <c r="J340" s="2">
        <v>381840.68</v>
      </c>
      <c r="K340" s="2" t="s">
        <v>49</v>
      </c>
      <c r="L340" s="3">
        <v>45548</v>
      </c>
      <c r="M340" s="2" t="s">
        <v>50</v>
      </c>
      <c r="N340" s="2">
        <v>1996331.03</v>
      </c>
      <c r="O340" s="2" t="s">
        <v>25</v>
      </c>
      <c r="P340" s="5" t="str">
        <f t="shared" si="25"/>
        <v>2024-09</v>
      </c>
      <c r="Q340">
        <f t="shared" si="26"/>
        <v>381840.68</v>
      </c>
      <c r="R340">
        <f t="shared" si="27"/>
        <v>0</v>
      </c>
      <c r="S340" t="str">
        <f t="shared" si="28"/>
        <v>Cash-Based</v>
      </c>
      <c r="T340" t="str">
        <f t="shared" si="29"/>
        <v>One-Time User</v>
      </c>
    </row>
    <row r="341" spans="1:20" ht="15.75" customHeight="1" x14ac:dyDescent="0.3">
      <c r="A341" s="2" t="s">
        <v>768</v>
      </c>
      <c r="B341" s="2">
        <v>674507</v>
      </c>
      <c r="C341" s="2" t="s">
        <v>769</v>
      </c>
      <c r="D341" s="2">
        <v>365343466726</v>
      </c>
      <c r="E341" s="2" t="s">
        <v>35</v>
      </c>
      <c r="F341" s="2" t="s">
        <v>73</v>
      </c>
      <c r="G341" s="2" t="s">
        <v>74</v>
      </c>
      <c r="H341" s="2" t="s">
        <v>70</v>
      </c>
      <c r="I341" s="2" t="s">
        <v>48</v>
      </c>
      <c r="J341" s="2">
        <v>123684.75</v>
      </c>
      <c r="K341" s="2" t="s">
        <v>23</v>
      </c>
      <c r="L341" s="3">
        <v>45376</v>
      </c>
      <c r="M341" s="2" t="s">
        <v>24</v>
      </c>
      <c r="N341" s="2">
        <v>355220.47999999998</v>
      </c>
      <c r="O341" s="2" t="s">
        <v>25</v>
      </c>
      <c r="P341" s="5" t="str">
        <f t="shared" si="25"/>
        <v>2024-03</v>
      </c>
      <c r="Q341">
        <f t="shared" si="26"/>
        <v>123684.75</v>
      </c>
      <c r="R341">
        <f t="shared" si="27"/>
        <v>0</v>
      </c>
      <c r="S341" t="str">
        <f t="shared" si="28"/>
        <v>Digital</v>
      </c>
      <c r="T341" t="str">
        <f t="shared" si="29"/>
        <v>One-Time User</v>
      </c>
    </row>
    <row r="342" spans="1:20" ht="15.75" customHeight="1" x14ac:dyDescent="0.3">
      <c r="A342" s="2" t="s">
        <v>770</v>
      </c>
      <c r="B342" s="2">
        <v>572980</v>
      </c>
      <c r="C342" s="2" t="s">
        <v>771</v>
      </c>
      <c r="D342" s="2">
        <v>184613706984</v>
      </c>
      <c r="E342" s="2" t="s">
        <v>64</v>
      </c>
      <c r="F342" s="2" t="s">
        <v>166</v>
      </c>
      <c r="G342" s="2" t="s">
        <v>167</v>
      </c>
      <c r="H342" s="2" t="s">
        <v>70</v>
      </c>
      <c r="I342" s="2" t="s">
        <v>48</v>
      </c>
      <c r="J342" s="2">
        <v>78611.759999999995</v>
      </c>
      <c r="K342" s="2" t="s">
        <v>23</v>
      </c>
      <c r="L342" s="3">
        <v>45401</v>
      </c>
      <c r="M342" s="2" t="s">
        <v>113</v>
      </c>
      <c r="N342" s="2">
        <v>1631486.44</v>
      </c>
      <c r="O342" s="2" t="s">
        <v>25</v>
      </c>
      <c r="P342" s="5" t="str">
        <f t="shared" si="25"/>
        <v>2024-04</v>
      </c>
      <c r="Q342">
        <f t="shared" si="26"/>
        <v>78611.759999999995</v>
      </c>
      <c r="R342">
        <f t="shared" si="27"/>
        <v>0</v>
      </c>
      <c r="S342" t="str">
        <f t="shared" si="28"/>
        <v>Digital</v>
      </c>
      <c r="T342" t="str">
        <f t="shared" si="29"/>
        <v>One-Time User</v>
      </c>
    </row>
    <row r="343" spans="1:20" ht="15.75" customHeight="1" x14ac:dyDescent="0.3">
      <c r="A343" s="2" t="s">
        <v>772</v>
      </c>
      <c r="B343" s="2">
        <v>364377</v>
      </c>
      <c r="C343" s="2" t="s">
        <v>773</v>
      </c>
      <c r="D343" s="2">
        <v>669037054253</v>
      </c>
      <c r="E343" s="2" t="s">
        <v>28</v>
      </c>
      <c r="F343" s="2" t="s">
        <v>79</v>
      </c>
      <c r="G343" s="2" t="s">
        <v>80</v>
      </c>
      <c r="H343" s="2" t="s">
        <v>67</v>
      </c>
      <c r="I343" s="2" t="s">
        <v>38</v>
      </c>
      <c r="J343" s="2">
        <v>121347.74</v>
      </c>
      <c r="K343" s="2" t="s">
        <v>49</v>
      </c>
      <c r="L343" s="3">
        <v>45680</v>
      </c>
      <c r="M343" s="2" t="s">
        <v>113</v>
      </c>
      <c r="N343" s="2">
        <v>108426.39</v>
      </c>
      <c r="O343" s="2" t="s">
        <v>25</v>
      </c>
      <c r="P343" s="5" t="str">
        <f t="shared" si="25"/>
        <v>2025-01</v>
      </c>
      <c r="Q343">
        <f t="shared" si="26"/>
        <v>-121347.74</v>
      </c>
      <c r="R343">
        <f t="shared" si="27"/>
        <v>0</v>
      </c>
      <c r="S343" t="str">
        <f t="shared" si="28"/>
        <v>Cash-Based</v>
      </c>
      <c r="T343" t="str">
        <f t="shared" si="29"/>
        <v>One-Time User</v>
      </c>
    </row>
    <row r="344" spans="1:20" ht="15.75" customHeight="1" x14ac:dyDescent="0.3">
      <c r="A344" s="2" t="s">
        <v>774</v>
      </c>
      <c r="B344" s="2">
        <v>989898</v>
      </c>
      <c r="C344" s="2" t="s">
        <v>775</v>
      </c>
      <c r="D344" s="2">
        <v>304809259360</v>
      </c>
      <c r="E344" s="2" t="s">
        <v>28</v>
      </c>
      <c r="F344" s="2" t="s">
        <v>192</v>
      </c>
      <c r="G344" s="2" t="s">
        <v>193</v>
      </c>
      <c r="H344" s="2" t="s">
        <v>21</v>
      </c>
      <c r="I344" s="2" t="s">
        <v>38</v>
      </c>
      <c r="J344" s="2">
        <v>51703.81</v>
      </c>
      <c r="K344" s="2" t="s">
        <v>49</v>
      </c>
      <c r="L344" s="3">
        <v>45593</v>
      </c>
      <c r="M344" s="2" t="s">
        <v>24</v>
      </c>
      <c r="N344" s="2">
        <v>641168.51</v>
      </c>
      <c r="O344" s="2" t="s">
        <v>25</v>
      </c>
      <c r="P344" s="5" t="str">
        <f t="shared" si="25"/>
        <v>2024-10</v>
      </c>
      <c r="Q344">
        <f t="shared" si="26"/>
        <v>-51703.81</v>
      </c>
      <c r="R344">
        <f t="shared" si="27"/>
        <v>0</v>
      </c>
      <c r="S344" t="str">
        <f t="shared" si="28"/>
        <v>Cash-Based</v>
      </c>
      <c r="T344" t="str">
        <f t="shared" si="29"/>
        <v>One-Time User</v>
      </c>
    </row>
    <row r="345" spans="1:20" ht="15.75" customHeight="1" x14ac:dyDescent="0.3">
      <c r="A345" s="2" t="s">
        <v>776</v>
      </c>
      <c r="B345" s="2">
        <v>390792</v>
      </c>
      <c r="C345" s="2" t="s">
        <v>777</v>
      </c>
      <c r="D345" s="2">
        <v>815931680958</v>
      </c>
      <c r="E345" s="2" t="s">
        <v>18</v>
      </c>
      <c r="F345" s="2" t="s">
        <v>46</v>
      </c>
      <c r="G345" s="2" t="s">
        <v>47</v>
      </c>
      <c r="H345" s="2" t="s">
        <v>31</v>
      </c>
      <c r="I345" s="2" t="s">
        <v>48</v>
      </c>
      <c r="J345" s="2">
        <v>163533.1</v>
      </c>
      <c r="K345" s="2" t="s">
        <v>49</v>
      </c>
      <c r="L345" s="3">
        <v>45679</v>
      </c>
      <c r="M345" s="2" t="s">
        <v>24</v>
      </c>
      <c r="N345" s="2">
        <v>1859589.9</v>
      </c>
      <c r="O345" s="2" t="s">
        <v>25</v>
      </c>
      <c r="P345" s="5" t="str">
        <f t="shared" si="25"/>
        <v>2025-01</v>
      </c>
      <c r="Q345">
        <f t="shared" si="26"/>
        <v>163533.1</v>
      </c>
      <c r="R345">
        <f t="shared" si="27"/>
        <v>0</v>
      </c>
      <c r="S345" t="str">
        <f t="shared" si="28"/>
        <v>Cash-Based</v>
      </c>
      <c r="T345" t="str">
        <f t="shared" si="29"/>
        <v>One-Time User</v>
      </c>
    </row>
    <row r="346" spans="1:20" ht="15.75" customHeight="1" x14ac:dyDescent="0.3">
      <c r="A346" s="2" t="s">
        <v>778</v>
      </c>
      <c r="B346" s="2">
        <v>409468</v>
      </c>
      <c r="C346" s="2" t="s">
        <v>779</v>
      </c>
      <c r="D346" s="2">
        <v>385357726132</v>
      </c>
      <c r="E346" s="2" t="s">
        <v>28</v>
      </c>
      <c r="F346" s="2" t="s">
        <v>192</v>
      </c>
      <c r="G346" s="2" t="s">
        <v>193</v>
      </c>
      <c r="H346" s="2" t="s">
        <v>21</v>
      </c>
      <c r="I346" s="2" t="s">
        <v>48</v>
      </c>
      <c r="J346" s="2">
        <v>273026.71000000002</v>
      </c>
      <c r="K346" s="2" t="s">
        <v>23</v>
      </c>
      <c r="L346" s="3">
        <v>45473</v>
      </c>
      <c r="M346" s="2" t="s">
        <v>24</v>
      </c>
      <c r="N346" s="2">
        <v>639598.09000000008</v>
      </c>
      <c r="O346" s="2" t="s">
        <v>25</v>
      </c>
      <c r="P346" s="5" t="str">
        <f t="shared" si="25"/>
        <v>2024-06</v>
      </c>
      <c r="Q346">
        <f t="shared" si="26"/>
        <v>273026.71000000002</v>
      </c>
      <c r="R346">
        <f t="shared" si="27"/>
        <v>0</v>
      </c>
      <c r="S346" t="str">
        <f t="shared" si="28"/>
        <v>Digital</v>
      </c>
      <c r="T346" t="str">
        <f t="shared" si="29"/>
        <v>One-Time User</v>
      </c>
    </row>
    <row r="347" spans="1:20" ht="15.75" customHeight="1" x14ac:dyDescent="0.3">
      <c r="A347" s="2" t="s">
        <v>780</v>
      </c>
      <c r="B347" s="2">
        <v>980642</v>
      </c>
      <c r="C347" s="2" t="s">
        <v>781</v>
      </c>
      <c r="D347" s="2">
        <v>100768524152</v>
      </c>
      <c r="E347" s="2" t="s">
        <v>35</v>
      </c>
      <c r="F347" s="2" t="s">
        <v>36</v>
      </c>
      <c r="G347" s="2" t="s">
        <v>37</v>
      </c>
      <c r="H347" s="2" t="s">
        <v>70</v>
      </c>
      <c r="I347" s="2" t="s">
        <v>48</v>
      </c>
      <c r="J347" s="2">
        <v>7411.04</v>
      </c>
      <c r="K347" s="2" t="s">
        <v>49</v>
      </c>
      <c r="L347" s="3">
        <v>45156</v>
      </c>
      <c r="M347" s="2" t="s">
        <v>24</v>
      </c>
      <c r="N347" s="2">
        <v>1595355.14</v>
      </c>
      <c r="O347" s="2" t="s">
        <v>25</v>
      </c>
      <c r="P347" s="5" t="str">
        <f t="shared" si="25"/>
        <v>2023-08</v>
      </c>
      <c r="Q347">
        <f t="shared" si="26"/>
        <v>7411.04</v>
      </c>
      <c r="R347">
        <f t="shared" si="27"/>
        <v>0</v>
      </c>
      <c r="S347" t="str">
        <f t="shared" si="28"/>
        <v>Cash-Based</v>
      </c>
      <c r="T347" t="str">
        <f t="shared" si="29"/>
        <v>One-Time User</v>
      </c>
    </row>
    <row r="348" spans="1:20" ht="15.75" customHeight="1" x14ac:dyDescent="0.3">
      <c r="A348" s="2" t="s">
        <v>782</v>
      </c>
      <c r="B348" s="2">
        <v>547953</v>
      </c>
      <c r="C348" s="2" t="s">
        <v>783</v>
      </c>
      <c r="D348" s="2">
        <v>284180983285</v>
      </c>
      <c r="E348" s="2" t="s">
        <v>28</v>
      </c>
      <c r="F348" s="2" t="s">
        <v>29</v>
      </c>
      <c r="G348" s="2" t="s">
        <v>30</v>
      </c>
      <c r="H348" s="2" t="s">
        <v>67</v>
      </c>
      <c r="I348" s="2" t="s">
        <v>38</v>
      </c>
      <c r="J348" s="2">
        <v>4390.57</v>
      </c>
      <c r="K348" s="2" t="s">
        <v>39</v>
      </c>
      <c r="L348" s="3">
        <v>45364</v>
      </c>
      <c r="M348" s="2" t="s">
        <v>24</v>
      </c>
      <c r="N348" s="2">
        <v>404938.51</v>
      </c>
      <c r="O348" s="2" t="s">
        <v>25</v>
      </c>
      <c r="P348" s="5" t="str">
        <f t="shared" si="25"/>
        <v>2024-03</v>
      </c>
      <c r="Q348">
        <f t="shared" si="26"/>
        <v>-4390.57</v>
      </c>
      <c r="R348">
        <f t="shared" si="27"/>
        <v>0</v>
      </c>
      <c r="S348" t="str">
        <f t="shared" si="28"/>
        <v>Cash-Based</v>
      </c>
      <c r="T348" t="str">
        <f t="shared" si="29"/>
        <v>One-Time User</v>
      </c>
    </row>
    <row r="349" spans="1:20" ht="15.75" customHeight="1" x14ac:dyDescent="0.3">
      <c r="A349" s="2" t="s">
        <v>784</v>
      </c>
      <c r="B349" s="2">
        <v>740305</v>
      </c>
      <c r="C349" s="2" t="s">
        <v>785</v>
      </c>
      <c r="D349" s="2">
        <v>242642960021</v>
      </c>
      <c r="E349" s="2" t="s">
        <v>28</v>
      </c>
      <c r="F349" s="2" t="s">
        <v>216</v>
      </c>
      <c r="G349" s="2" t="s">
        <v>217</v>
      </c>
      <c r="H349" s="2" t="s">
        <v>70</v>
      </c>
      <c r="I349" s="2" t="s">
        <v>53</v>
      </c>
      <c r="J349" s="2">
        <v>256573.7</v>
      </c>
      <c r="K349" s="2" t="s">
        <v>32</v>
      </c>
      <c r="L349" s="3">
        <v>45149</v>
      </c>
      <c r="M349" s="2" t="s">
        <v>113</v>
      </c>
      <c r="N349" s="2">
        <v>1215289.54</v>
      </c>
      <c r="O349" s="2" t="s">
        <v>25</v>
      </c>
      <c r="P349" s="5" t="str">
        <f t="shared" si="25"/>
        <v>2023-08</v>
      </c>
      <c r="Q349">
        <f t="shared" si="26"/>
        <v>256573.7</v>
      </c>
      <c r="R349">
        <f t="shared" si="27"/>
        <v>0</v>
      </c>
      <c r="S349" t="str">
        <f t="shared" si="28"/>
        <v>Cash-Based</v>
      </c>
      <c r="T349" t="str">
        <f t="shared" si="29"/>
        <v>One-Time User</v>
      </c>
    </row>
    <row r="350" spans="1:20" ht="15.75" customHeight="1" x14ac:dyDescent="0.3">
      <c r="A350" s="2" t="s">
        <v>786</v>
      </c>
      <c r="B350" s="2">
        <v>427894</v>
      </c>
      <c r="C350" s="2" t="s">
        <v>787</v>
      </c>
      <c r="D350" s="2">
        <v>870186363718</v>
      </c>
      <c r="E350" s="2" t="s">
        <v>91</v>
      </c>
      <c r="F350" s="2" t="s">
        <v>109</v>
      </c>
      <c r="G350" s="2" t="s">
        <v>110</v>
      </c>
      <c r="H350" s="2" t="s">
        <v>67</v>
      </c>
      <c r="I350" s="2" t="s">
        <v>48</v>
      </c>
      <c r="J350" s="2">
        <v>192646.23</v>
      </c>
      <c r="K350" s="2" t="s">
        <v>98</v>
      </c>
      <c r="L350" s="3">
        <v>45703</v>
      </c>
      <c r="M350" s="2" t="s">
        <v>24</v>
      </c>
      <c r="N350" s="2">
        <v>1958117.95</v>
      </c>
      <c r="O350" s="2" t="s">
        <v>25</v>
      </c>
      <c r="P350" s="5" t="str">
        <f t="shared" si="25"/>
        <v>2025-02</v>
      </c>
      <c r="Q350">
        <f t="shared" si="26"/>
        <v>192646.23</v>
      </c>
      <c r="R350">
        <f t="shared" si="27"/>
        <v>0</v>
      </c>
      <c r="S350" t="str">
        <f t="shared" si="28"/>
        <v>Cash-Based</v>
      </c>
      <c r="T350" t="str">
        <f t="shared" si="29"/>
        <v>One-Time User</v>
      </c>
    </row>
    <row r="351" spans="1:20" ht="15.75" customHeight="1" x14ac:dyDescent="0.3">
      <c r="A351" s="2" t="s">
        <v>788</v>
      </c>
      <c r="B351" s="2">
        <v>586706</v>
      </c>
      <c r="C351" s="2" t="s">
        <v>789</v>
      </c>
      <c r="D351" s="2">
        <v>386125421772</v>
      </c>
      <c r="E351" s="2" t="s">
        <v>64</v>
      </c>
      <c r="F351" s="2" t="s">
        <v>166</v>
      </c>
      <c r="G351" s="2" t="s">
        <v>167</v>
      </c>
      <c r="H351" s="2" t="s">
        <v>31</v>
      </c>
      <c r="I351" s="2" t="s">
        <v>48</v>
      </c>
      <c r="J351" s="2">
        <v>245014.75</v>
      </c>
      <c r="K351" s="2" t="s">
        <v>49</v>
      </c>
      <c r="L351" s="3">
        <v>45321</v>
      </c>
      <c r="M351" s="2" t="s">
        <v>24</v>
      </c>
      <c r="N351" s="2">
        <v>1896528.53</v>
      </c>
      <c r="O351" s="2" t="s">
        <v>25</v>
      </c>
      <c r="P351" s="5" t="str">
        <f t="shared" si="25"/>
        <v>2024-01</v>
      </c>
      <c r="Q351">
        <f t="shared" si="26"/>
        <v>245014.75</v>
      </c>
      <c r="R351">
        <f t="shared" si="27"/>
        <v>0</v>
      </c>
      <c r="S351" t="str">
        <f t="shared" si="28"/>
        <v>Cash-Based</v>
      </c>
      <c r="T351" t="str">
        <f t="shared" si="29"/>
        <v>One-Time User</v>
      </c>
    </row>
    <row r="352" spans="1:20" ht="15.75" customHeight="1" x14ac:dyDescent="0.3">
      <c r="A352" s="2" t="s">
        <v>790</v>
      </c>
      <c r="B352" s="2">
        <v>684987</v>
      </c>
      <c r="C352" s="2" t="s">
        <v>791</v>
      </c>
      <c r="D352" s="2">
        <v>462363293377</v>
      </c>
      <c r="E352" s="2" t="s">
        <v>64</v>
      </c>
      <c r="F352" s="2" t="s">
        <v>83</v>
      </c>
      <c r="G352" s="2" t="s">
        <v>84</v>
      </c>
      <c r="H352" s="2" t="s">
        <v>31</v>
      </c>
      <c r="I352" s="2" t="s">
        <v>53</v>
      </c>
      <c r="J352" s="2">
        <v>498754.84</v>
      </c>
      <c r="K352" s="2" t="s">
        <v>23</v>
      </c>
      <c r="L352" s="3">
        <v>45265</v>
      </c>
      <c r="M352" s="2" t="s">
        <v>24</v>
      </c>
      <c r="N352" s="2">
        <v>1284513.78</v>
      </c>
      <c r="O352" s="2" t="s">
        <v>25</v>
      </c>
      <c r="P352" s="5" t="str">
        <f t="shared" si="25"/>
        <v>2023-12</v>
      </c>
      <c r="Q352">
        <f t="shared" si="26"/>
        <v>498754.84</v>
      </c>
      <c r="R352">
        <f t="shared" si="27"/>
        <v>0</v>
      </c>
      <c r="S352" t="str">
        <f t="shared" si="28"/>
        <v>Digital</v>
      </c>
      <c r="T352" t="str">
        <f t="shared" si="29"/>
        <v>One-Time User</v>
      </c>
    </row>
    <row r="353" spans="1:20" ht="15.75" customHeight="1" x14ac:dyDescent="0.3">
      <c r="A353" s="2" t="s">
        <v>792</v>
      </c>
      <c r="B353" s="2">
        <v>718664</v>
      </c>
      <c r="C353" s="2" t="s">
        <v>793</v>
      </c>
      <c r="D353" s="2">
        <v>283341172763</v>
      </c>
      <c r="E353" s="2" t="s">
        <v>35</v>
      </c>
      <c r="F353" s="2" t="s">
        <v>42</v>
      </c>
      <c r="G353" s="2" t="s">
        <v>43</v>
      </c>
      <c r="H353" s="2" t="s">
        <v>31</v>
      </c>
      <c r="I353" s="2" t="s">
        <v>48</v>
      </c>
      <c r="J353" s="2">
        <v>223897.88</v>
      </c>
      <c r="K353" s="2" t="s">
        <v>23</v>
      </c>
      <c r="L353" s="3">
        <v>45418</v>
      </c>
      <c r="M353" s="2" t="s">
        <v>24</v>
      </c>
      <c r="N353" s="2">
        <v>1081271.3899999999</v>
      </c>
      <c r="O353" s="2" t="s">
        <v>25</v>
      </c>
      <c r="P353" s="5" t="str">
        <f t="shared" si="25"/>
        <v>2024-05</v>
      </c>
      <c r="Q353">
        <f t="shared" si="26"/>
        <v>223897.88</v>
      </c>
      <c r="R353">
        <f t="shared" si="27"/>
        <v>0</v>
      </c>
      <c r="S353" t="str">
        <f t="shared" si="28"/>
        <v>Digital</v>
      </c>
      <c r="T353" t="str">
        <f t="shared" si="29"/>
        <v>One-Time User</v>
      </c>
    </row>
    <row r="354" spans="1:20" ht="15.75" customHeight="1" x14ac:dyDescent="0.3">
      <c r="A354" s="2" t="s">
        <v>794</v>
      </c>
      <c r="B354" s="2">
        <v>361462</v>
      </c>
      <c r="C354" s="2" t="s">
        <v>795</v>
      </c>
      <c r="D354" s="2">
        <v>605459164624</v>
      </c>
      <c r="E354" s="2" t="s">
        <v>64</v>
      </c>
      <c r="F354" s="2" t="s">
        <v>166</v>
      </c>
      <c r="G354" s="2" t="s">
        <v>167</v>
      </c>
      <c r="H354" s="2" t="s">
        <v>21</v>
      </c>
      <c r="I354" s="2" t="s">
        <v>38</v>
      </c>
      <c r="J354" s="2">
        <v>133808.04</v>
      </c>
      <c r="K354" s="2" t="s">
        <v>32</v>
      </c>
      <c r="L354" s="3">
        <v>45618</v>
      </c>
      <c r="M354" s="2" t="s">
        <v>24</v>
      </c>
      <c r="N354" s="2">
        <v>1345738.11</v>
      </c>
      <c r="O354" s="2" t="s">
        <v>25</v>
      </c>
      <c r="P354" s="5" t="str">
        <f t="shared" si="25"/>
        <v>2024-11</v>
      </c>
      <c r="Q354">
        <f t="shared" si="26"/>
        <v>-133808.04</v>
      </c>
      <c r="R354">
        <f t="shared" si="27"/>
        <v>0</v>
      </c>
      <c r="S354" t="str">
        <f t="shared" si="28"/>
        <v>Cash-Based</v>
      </c>
      <c r="T354" t="str">
        <f t="shared" si="29"/>
        <v>One-Time User</v>
      </c>
    </row>
    <row r="355" spans="1:20" ht="15.75" customHeight="1" x14ac:dyDescent="0.3">
      <c r="A355" s="2" t="s">
        <v>796</v>
      </c>
      <c r="B355" s="2">
        <v>633665</v>
      </c>
      <c r="C355" s="2" t="s">
        <v>797</v>
      </c>
      <c r="D355" s="2">
        <v>198565706740</v>
      </c>
      <c r="E355" s="2" t="s">
        <v>35</v>
      </c>
      <c r="F355" s="2" t="s">
        <v>73</v>
      </c>
      <c r="G355" s="2" t="s">
        <v>74</v>
      </c>
      <c r="H355" s="2" t="s">
        <v>67</v>
      </c>
      <c r="I355" s="2" t="s">
        <v>38</v>
      </c>
      <c r="J355" s="2">
        <v>45421.34</v>
      </c>
      <c r="K355" s="2" t="s">
        <v>49</v>
      </c>
      <c r="L355" s="3">
        <v>45443</v>
      </c>
      <c r="M355" s="2" t="s">
        <v>24</v>
      </c>
      <c r="N355" s="2">
        <v>821237.76000000001</v>
      </c>
      <c r="O355" s="2" t="s">
        <v>25</v>
      </c>
      <c r="P355" s="5" t="str">
        <f t="shared" si="25"/>
        <v>2024-05</v>
      </c>
      <c r="Q355">
        <f t="shared" si="26"/>
        <v>-45421.34</v>
      </c>
      <c r="R355">
        <f t="shared" si="27"/>
        <v>0</v>
      </c>
      <c r="S355" t="str">
        <f t="shared" si="28"/>
        <v>Cash-Based</v>
      </c>
      <c r="T355" t="str">
        <f t="shared" si="29"/>
        <v>One-Time User</v>
      </c>
    </row>
    <row r="356" spans="1:20" ht="15.75" customHeight="1" x14ac:dyDescent="0.3">
      <c r="A356" s="2" t="s">
        <v>798</v>
      </c>
      <c r="B356" s="2">
        <v>894189</v>
      </c>
      <c r="C356" s="2" t="s">
        <v>799</v>
      </c>
      <c r="D356" s="2">
        <v>261191347516</v>
      </c>
      <c r="E356" s="2" t="s">
        <v>91</v>
      </c>
      <c r="F356" s="2" t="s">
        <v>109</v>
      </c>
      <c r="G356" s="2" t="s">
        <v>110</v>
      </c>
      <c r="H356" s="2" t="s">
        <v>21</v>
      </c>
      <c r="I356" s="2" t="s">
        <v>22</v>
      </c>
      <c r="J356" s="2">
        <v>172113.86</v>
      </c>
      <c r="K356" s="2" t="s">
        <v>49</v>
      </c>
      <c r="L356" s="3">
        <v>45129</v>
      </c>
      <c r="M356" s="2" t="s">
        <v>24</v>
      </c>
      <c r="N356" s="2">
        <v>896946.19</v>
      </c>
      <c r="O356" s="2" t="s">
        <v>25</v>
      </c>
      <c r="P356" s="5" t="str">
        <f t="shared" si="25"/>
        <v>2023-07</v>
      </c>
      <c r="Q356">
        <f t="shared" si="26"/>
        <v>172113.86</v>
      </c>
      <c r="R356">
        <f t="shared" si="27"/>
        <v>0</v>
      </c>
      <c r="S356" t="str">
        <f t="shared" si="28"/>
        <v>Cash-Based</v>
      </c>
      <c r="T356" t="str">
        <f t="shared" si="29"/>
        <v>One-Time User</v>
      </c>
    </row>
    <row r="357" spans="1:20" ht="15.75" customHeight="1" x14ac:dyDescent="0.3">
      <c r="A357" s="2" t="s">
        <v>800</v>
      </c>
      <c r="B357" s="2">
        <v>475202</v>
      </c>
      <c r="C357" s="2" t="s">
        <v>801</v>
      </c>
      <c r="D357" s="2">
        <v>263661783529</v>
      </c>
      <c r="E357" s="2" t="s">
        <v>91</v>
      </c>
      <c r="F357" s="2" t="s">
        <v>162</v>
      </c>
      <c r="G357" s="2" t="s">
        <v>163</v>
      </c>
      <c r="H357" s="2" t="s">
        <v>21</v>
      </c>
      <c r="I357" s="2" t="s">
        <v>38</v>
      </c>
      <c r="J357" s="2">
        <v>78597.94</v>
      </c>
      <c r="K357" s="2" t="s">
        <v>23</v>
      </c>
      <c r="L357" s="3">
        <v>45714</v>
      </c>
      <c r="M357" s="2" t="s">
        <v>24</v>
      </c>
      <c r="N357" s="2">
        <v>1132144.31</v>
      </c>
      <c r="O357" s="2" t="s">
        <v>25</v>
      </c>
      <c r="P357" s="5" t="str">
        <f t="shared" si="25"/>
        <v>2025-02</v>
      </c>
      <c r="Q357">
        <f t="shared" si="26"/>
        <v>-78597.94</v>
      </c>
      <c r="R357">
        <f t="shared" si="27"/>
        <v>0</v>
      </c>
      <c r="S357" t="str">
        <f t="shared" si="28"/>
        <v>Digital</v>
      </c>
      <c r="T357" t="str">
        <f t="shared" si="29"/>
        <v>One-Time User</v>
      </c>
    </row>
    <row r="358" spans="1:20" ht="15.75" customHeight="1" x14ac:dyDescent="0.3">
      <c r="A358" s="2" t="s">
        <v>802</v>
      </c>
      <c r="B358" s="2">
        <v>853516</v>
      </c>
      <c r="C358" s="2" t="s">
        <v>803</v>
      </c>
      <c r="D358" s="2">
        <v>909642409332</v>
      </c>
      <c r="E358" s="2" t="s">
        <v>35</v>
      </c>
      <c r="F358" s="2" t="s">
        <v>42</v>
      </c>
      <c r="G358" s="2" t="s">
        <v>43</v>
      </c>
      <c r="H358" s="2" t="s">
        <v>31</v>
      </c>
      <c r="I358" s="2" t="s">
        <v>48</v>
      </c>
      <c r="J358" s="2">
        <v>2034.23</v>
      </c>
      <c r="K358" s="2" t="s">
        <v>39</v>
      </c>
      <c r="L358" s="3">
        <v>45641</v>
      </c>
      <c r="M358" s="2" t="s">
        <v>50</v>
      </c>
      <c r="N358" s="2">
        <v>1179384.8799999999</v>
      </c>
      <c r="O358" s="2" t="s">
        <v>25</v>
      </c>
      <c r="P358" s="5" t="str">
        <f t="shared" si="25"/>
        <v>2024-12</v>
      </c>
      <c r="Q358">
        <f t="shared" si="26"/>
        <v>2034.23</v>
      </c>
      <c r="R358">
        <f t="shared" si="27"/>
        <v>0</v>
      </c>
      <c r="S358" t="str">
        <f t="shared" si="28"/>
        <v>Cash-Based</v>
      </c>
      <c r="T358" t="str">
        <f t="shared" si="29"/>
        <v>One-Time User</v>
      </c>
    </row>
    <row r="359" spans="1:20" ht="15.75" customHeight="1" x14ac:dyDescent="0.3">
      <c r="A359" s="2" t="s">
        <v>804</v>
      </c>
      <c r="B359" s="2">
        <v>150512</v>
      </c>
      <c r="C359" s="2" t="s">
        <v>805</v>
      </c>
      <c r="D359" s="2">
        <v>947252500435</v>
      </c>
      <c r="E359" s="2" t="s">
        <v>64</v>
      </c>
      <c r="F359" s="2" t="s">
        <v>146</v>
      </c>
      <c r="G359" s="2" t="s">
        <v>147</v>
      </c>
      <c r="H359" s="2" t="s">
        <v>67</v>
      </c>
      <c r="I359" s="2" t="s">
        <v>38</v>
      </c>
      <c r="J359" s="2">
        <v>145852.56</v>
      </c>
      <c r="K359" s="2" t="s">
        <v>23</v>
      </c>
      <c r="L359" s="3">
        <v>45649</v>
      </c>
      <c r="M359" s="2" t="s">
        <v>24</v>
      </c>
      <c r="N359" s="2">
        <v>1802050.86</v>
      </c>
      <c r="O359" s="2" t="s">
        <v>25</v>
      </c>
      <c r="P359" s="5" t="str">
        <f t="shared" si="25"/>
        <v>2024-12</v>
      </c>
      <c r="Q359">
        <f t="shared" si="26"/>
        <v>-145852.56</v>
      </c>
      <c r="R359">
        <f t="shared" si="27"/>
        <v>0</v>
      </c>
      <c r="S359" t="str">
        <f t="shared" si="28"/>
        <v>Digital</v>
      </c>
      <c r="T359" t="str">
        <f t="shared" si="29"/>
        <v>One-Time User</v>
      </c>
    </row>
    <row r="360" spans="1:20" ht="15.75" customHeight="1" x14ac:dyDescent="0.3">
      <c r="A360" s="2" t="s">
        <v>806</v>
      </c>
      <c r="B360" s="2">
        <v>114174</v>
      </c>
      <c r="C360" s="2" t="s">
        <v>807</v>
      </c>
      <c r="D360" s="2">
        <v>503389519825</v>
      </c>
      <c r="E360" s="2" t="s">
        <v>64</v>
      </c>
      <c r="F360" s="2" t="s">
        <v>146</v>
      </c>
      <c r="G360" s="2" t="s">
        <v>147</v>
      </c>
      <c r="H360" s="2" t="s">
        <v>31</v>
      </c>
      <c r="I360" s="2" t="s">
        <v>22</v>
      </c>
      <c r="J360" s="2">
        <v>505150.86</v>
      </c>
      <c r="K360" s="2" t="s">
        <v>49</v>
      </c>
      <c r="L360" s="3">
        <v>45124</v>
      </c>
      <c r="M360" s="2" t="s">
        <v>24</v>
      </c>
      <c r="N360" s="2">
        <v>1521144.43</v>
      </c>
      <c r="O360" s="2" t="s">
        <v>25</v>
      </c>
      <c r="P360" s="5" t="str">
        <f t="shared" si="25"/>
        <v>2023-07</v>
      </c>
      <c r="Q360">
        <f t="shared" si="26"/>
        <v>505150.86</v>
      </c>
      <c r="R360">
        <f t="shared" si="27"/>
        <v>0</v>
      </c>
      <c r="S360" t="str">
        <f t="shared" si="28"/>
        <v>Cash-Based</v>
      </c>
      <c r="T360" t="str">
        <f t="shared" si="29"/>
        <v>One-Time User</v>
      </c>
    </row>
    <row r="361" spans="1:20" ht="15.75" customHeight="1" x14ac:dyDescent="0.3">
      <c r="A361" s="2" t="s">
        <v>808</v>
      </c>
      <c r="B361" s="2">
        <v>815415</v>
      </c>
      <c r="C361" s="2" t="s">
        <v>809</v>
      </c>
      <c r="D361" s="2">
        <v>707425693401</v>
      </c>
      <c r="E361" s="2" t="s">
        <v>28</v>
      </c>
      <c r="F361" s="2" t="s">
        <v>150</v>
      </c>
      <c r="G361" s="2" t="s">
        <v>151</v>
      </c>
      <c r="H361" s="2" t="s">
        <v>21</v>
      </c>
      <c r="I361" s="2" t="s">
        <v>48</v>
      </c>
      <c r="J361" s="2">
        <v>263485.11</v>
      </c>
      <c r="K361" s="2" t="s">
        <v>49</v>
      </c>
      <c r="L361" s="3">
        <v>45805</v>
      </c>
      <c r="M361" s="2" t="s">
        <v>24</v>
      </c>
      <c r="N361" s="2">
        <v>772198.29</v>
      </c>
      <c r="O361" s="2" t="s">
        <v>25</v>
      </c>
      <c r="P361" s="5" t="str">
        <f t="shared" si="25"/>
        <v>2025-05</v>
      </c>
      <c r="Q361">
        <f t="shared" si="26"/>
        <v>263485.11</v>
      </c>
      <c r="R361">
        <f t="shared" si="27"/>
        <v>0</v>
      </c>
      <c r="S361" t="str">
        <f t="shared" si="28"/>
        <v>Cash-Based</v>
      </c>
      <c r="T361" t="str">
        <f t="shared" si="29"/>
        <v>One-Time User</v>
      </c>
    </row>
    <row r="362" spans="1:20" ht="15.75" customHeight="1" x14ac:dyDescent="0.3">
      <c r="A362" s="2" t="s">
        <v>810</v>
      </c>
      <c r="B362" s="2">
        <v>332907</v>
      </c>
      <c r="C362" s="2" t="s">
        <v>811</v>
      </c>
      <c r="D362" s="2">
        <v>775725282488</v>
      </c>
      <c r="E362" s="2" t="s">
        <v>18</v>
      </c>
      <c r="F362" s="2" t="s">
        <v>46</v>
      </c>
      <c r="G362" s="2" t="s">
        <v>47</v>
      </c>
      <c r="H362" s="2" t="s">
        <v>70</v>
      </c>
      <c r="I362" s="2" t="s">
        <v>53</v>
      </c>
      <c r="J362" s="2">
        <v>477061.46</v>
      </c>
      <c r="K362" s="2" t="s">
        <v>32</v>
      </c>
      <c r="L362" s="3">
        <v>45450</v>
      </c>
      <c r="M362" s="2" t="s">
        <v>24</v>
      </c>
      <c r="N362" s="2">
        <v>943250.81</v>
      </c>
      <c r="O362" s="2" t="s">
        <v>179</v>
      </c>
      <c r="P362" s="5" t="str">
        <f t="shared" si="25"/>
        <v>2024-06</v>
      </c>
      <c r="Q362">
        <f t="shared" si="26"/>
        <v>477061.46</v>
      </c>
      <c r="R362">
        <f t="shared" si="27"/>
        <v>1</v>
      </c>
      <c r="S362" t="str">
        <f t="shared" si="28"/>
        <v>Cash-Based</v>
      </c>
      <c r="T362" t="str">
        <f t="shared" si="29"/>
        <v>One-Time User</v>
      </c>
    </row>
    <row r="363" spans="1:20" ht="15.75" customHeight="1" x14ac:dyDescent="0.3">
      <c r="A363" s="2" t="s">
        <v>812</v>
      </c>
      <c r="B363" s="2">
        <v>888086</v>
      </c>
      <c r="C363" s="2" t="s">
        <v>813</v>
      </c>
      <c r="D363" s="2">
        <v>396619643095</v>
      </c>
      <c r="E363" s="2" t="s">
        <v>18</v>
      </c>
      <c r="F363" s="2" t="s">
        <v>19</v>
      </c>
      <c r="G363" s="2" t="s">
        <v>20</v>
      </c>
      <c r="H363" s="2" t="s">
        <v>21</v>
      </c>
      <c r="I363" s="2" t="s">
        <v>38</v>
      </c>
      <c r="J363" s="2">
        <v>89540.74</v>
      </c>
      <c r="K363" s="2" t="s">
        <v>23</v>
      </c>
      <c r="L363" s="3">
        <v>45727</v>
      </c>
      <c r="M363" s="2" t="s">
        <v>24</v>
      </c>
      <c r="N363" s="2">
        <v>1430531.1</v>
      </c>
      <c r="O363" s="2" t="s">
        <v>25</v>
      </c>
      <c r="P363" s="5" t="str">
        <f t="shared" si="25"/>
        <v>2025-03</v>
      </c>
      <c r="Q363">
        <f t="shared" si="26"/>
        <v>-89540.74</v>
      </c>
      <c r="R363">
        <f t="shared" si="27"/>
        <v>0</v>
      </c>
      <c r="S363" t="str">
        <f t="shared" si="28"/>
        <v>Digital</v>
      </c>
      <c r="T363" t="str">
        <f t="shared" si="29"/>
        <v>One-Time User</v>
      </c>
    </row>
    <row r="364" spans="1:20" ht="15.75" customHeight="1" x14ac:dyDescent="0.3">
      <c r="A364" s="2" t="s">
        <v>814</v>
      </c>
      <c r="B364" s="2">
        <v>344715</v>
      </c>
      <c r="C364" s="2" t="s">
        <v>815</v>
      </c>
      <c r="D364" s="2">
        <v>662042689096</v>
      </c>
      <c r="E364" s="2" t="s">
        <v>91</v>
      </c>
      <c r="F364" s="2" t="s">
        <v>162</v>
      </c>
      <c r="G364" s="2" t="s">
        <v>163</v>
      </c>
      <c r="H364" s="2" t="s">
        <v>70</v>
      </c>
      <c r="I364" s="2" t="s">
        <v>22</v>
      </c>
      <c r="J364" s="2">
        <v>377204.37</v>
      </c>
      <c r="K364" s="2" t="s">
        <v>39</v>
      </c>
      <c r="L364" s="3">
        <v>45524</v>
      </c>
      <c r="M364" s="2" t="s">
        <v>24</v>
      </c>
      <c r="N364" s="2">
        <v>1214932.99</v>
      </c>
      <c r="O364" s="2" t="s">
        <v>25</v>
      </c>
      <c r="P364" s="5" t="str">
        <f t="shared" si="25"/>
        <v>2024-08</v>
      </c>
      <c r="Q364">
        <f t="shared" si="26"/>
        <v>377204.37</v>
      </c>
      <c r="R364">
        <f t="shared" si="27"/>
        <v>0</v>
      </c>
      <c r="S364" t="str">
        <f t="shared" si="28"/>
        <v>Cash-Based</v>
      </c>
      <c r="T364" t="str">
        <f t="shared" si="29"/>
        <v>One-Time User</v>
      </c>
    </row>
    <row r="365" spans="1:20" ht="15.75" customHeight="1" x14ac:dyDescent="0.3">
      <c r="A365" s="2" t="s">
        <v>816</v>
      </c>
      <c r="B365" s="2">
        <v>475616</v>
      </c>
      <c r="C365" s="2" t="s">
        <v>817</v>
      </c>
      <c r="D365" s="2">
        <v>174971552064</v>
      </c>
      <c r="E365" s="2" t="s">
        <v>64</v>
      </c>
      <c r="F365" s="2" t="s">
        <v>177</v>
      </c>
      <c r="G365" s="2" t="s">
        <v>178</v>
      </c>
      <c r="H365" s="2" t="s">
        <v>21</v>
      </c>
      <c r="I365" s="2" t="s">
        <v>48</v>
      </c>
      <c r="J365" s="2">
        <v>5600</v>
      </c>
      <c r="K365" s="2" t="s">
        <v>49</v>
      </c>
      <c r="L365" s="3">
        <v>45804</v>
      </c>
      <c r="M365" s="2" t="s">
        <v>24</v>
      </c>
      <c r="N365" s="2">
        <v>341311.75</v>
      </c>
      <c r="O365" s="2" t="s">
        <v>25</v>
      </c>
      <c r="P365" s="5" t="str">
        <f t="shared" si="25"/>
        <v>2025-05</v>
      </c>
      <c r="Q365">
        <f t="shared" si="26"/>
        <v>5600</v>
      </c>
      <c r="R365">
        <f t="shared" si="27"/>
        <v>0</v>
      </c>
      <c r="S365" t="str">
        <f t="shared" si="28"/>
        <v>Cash-Based</v>
      </c>
      <c r="T365" t="str">
        <f t="shared" si="29"/>
        <v>One-Time User</v>
      </c>
    </row>
    <row r="366" spans="1:20" ht="15.75" customHeight="1" x14ac:dyDescent="0.3">
      <c r="A366" s="2" t="s">
        <v>818</v>
      </c>
      <c r="B366" s="2">
        <v>219887</v>
      </c>
      <c r="C366" s="2" t="s">
        <v>819</v>
      </c>
      <c r="D366" s="2">
        <v>718917028742</v>
      </c>
      <c r="E366" s="2" t="s">
        <v>91</v>
      </c>
      <c r="F366" s="2" t="s">
        <v>105</v>
      </c>
      <c r="G366" s="2" t="s">
        <v>106</v>
      </c>
      <c r="H366" s="2" t="s">
        <v>31</v>
      </c>
      <c r="I366" s="2" t="s">
        <v>48</v>
      </c>
      <c r="J366" s="2">
        <v>218817.69</v>
      </c>
      <c r="K366" s="2" t="s">
        <v>49</v>
      </c>
      <c r="L366" s="3">
        <v>45835</v>
      </c>
      <c r="M366" s="2" t="s">
        <v>50</v>
      </c>
      <c r="N366" s="2">
        <v>343750.94</v>
      </c>
      <c r="O366" s="2" t="s">
        <v>25</v>
      </c>
      <c r="P366" s="5" t="str">
        <f t="shared" si="25"/>
        <v>2025-06</v>
      </c>
      <c r="Q366">
        <f t="shared" si="26"/>
        <v>218817.69</v>
      </c>
      <c r="R366">
        <f t="shared" si="27"/>
        <v>0</v>
      </c>
      <c r="S366" t="str">
        <f t="shared" si="28"/>
        <v>Cash-Based</v>
      </c>
      <c r="T366" t="str">
        <f t="shared" si="29"/>
        <v>One-Time User</v>
      </c>
    </row>
    <row r="367" spans="1:20" ht="15.75" customHeight="1" x14ac:dyDescent="0.3">
      <c r="A367" s="2" t="s">
        <v>820</v>
      </c>
      <c r="B367" s="2">
        <v>374263</v>
      </c>
      <c r="C367" s="2" t="s">
        <v>821</v>
      </c>
      <c r="D367" s="2">
        <v>676729996656</v>
      </c>
      <c r="E367" s="2" t="s">
        <v>91</v>
      </c>
      <c r="F367" s="2" t="s">
        <v>92</v>
      </c>
      <c r="G367" s="2" t="s">
        <v>93</v>
      </c>
      <c r="H367" s="2" t="s">
        <v>31</v>
      </c>
      <c r="I367" s="2" t="s">
        <v>53</v>
      </c>
      <c r="J367" s="2">
        <v>332941.88</v>
      </c>
      <c r="K367" s="2" t="s">
        <v>23</v>
      </c>
      <c r="L367" s="3">
        <v>45342</v>
      </c>
      <c r="M367" s="2" t="s">
        <v>24</v>
      </c>
      <c r="N367" s="2">
        <v>1594009.73</v>
      </c>
      <c r="O367" s="2" t="s">
        <v>25</v>
      </c>
      <c r="P367" s="5" t="str">
        <f t="shared" si="25"/>
        <v>2024-02</v>
      </c>
      <c r="Q367">
        <f t="shared" si="26"/>
        <v>332941.88</v>
      </c>
      <c r="R367">
        <f t="shared" si="27"/>
        <v>0</v>
      </c>
      <c r="S367" t="str">
        <f t="shared" si="28"/>
        <v>Digital</v>
      </c>
      <c r="T367" t="str">
        <f t="shared" si="29"/>
        <v>One-Time User</v>
      </c>
    </row>
    <row r="368" spans="1:20" ht="15.75" customHeight="1" x14ac:dyDescent="0.3">
      <c r="A368" s="2" t="s">
        <v>822</v>
      </c>
      <c r="B368" s="2">
        <v>223924</v>
      </c>
      <c r="C368" s="2" t="s">
        <v>823</v>
      </c>
      <c r="D368" s="2">
        <v>667714778462</v>
      </c>
      <c r="E368" s="2" t="s">
        <v>35</v>
      </c>
      <c r="F368" s="2" t="s">
        <v>36</v>
      </c>
      <c r="G368" s="2" t="s">
        <v>37</v>
      </c>
      <c r="H368" s="2" t="s">
        <v>67</v>
      </c>
      <c r="I368" s="2" t="s">
        <v>53</v>
      </c>
      <c r="J368" s="2">
        <v>103224.63</v>
      </c>
      <c r="K368" s="2" t="s">
        <v>23</v>
      </c>
      <c r="L368" s="3">
        <v>45119</v>
      </c>
      <c r="M368" s="2" t="s">
        <v>24</v>
      </c>
      <c r="N368" s="2">
        <v>770321.19000000006</v>
      </c>
      <c r="O368" s="2" t="s">
        <v>25</v>
      </c>
      <c r="P368" s="5" t="str">
        <f t="shared" si="25"/>
        <v>2023-07</v>
      </c>
      <c r="Q368">
        <f t="shared" si="26"/>
        <v>103224.63</v>
      </c>
      <c r="R368">
        <f t="shared" si="27"/>
        <v>0</v>
      </c>
      <c r="S368" t="str">
        <f t="shared" si="28"/>
        <v>Digital</v>
      </c>
      <c r="T368" t="str">
        <f t="shared" si="29"/>
        <v>One-Time User</v>
      </c>
    </row>
    <row r="369" spans="1:20" ht="15.75" customHeight="1" x14ac:dyDescent="0.3">
      <c r="A369" s="2" t="s">
        <v>824</v>
      </c>
      <c r="B369" s="2">
        <v>539350</v>
      </c>
      <c r="C369" s="2" t="s">
        <v>825</v>
      </c>
      <c r="D369" s="2">
        <v>733606955563</v>
      </c>
      <c r="E369" s="2" t="s">
        <v>28</v>
      </c>
      <c r="F369" s="2" t="s">
        <v>192</v>
      </c>
      <c r="G369" s="2" t="s">
        <v>193</v>
      </c>
      <c r="H369" s="2" t="s">
        <v>31</v>
      </c>
      <c r="I369" s="2" t="s">
        <v>53</v>
      </c>
      <c r="J369" s="2">
        <v>82653.77</v>
      </c>
      <c r="K369" s="2" t="s">
        <v>49</v>
      </c>
      <c r="L369" s="3">
        <v>45819</v>
      </c>
      <c r="M369" s="2" t="s">
        <v>24</v>
      </c>
      <c r="N369" s="2">
        <v>1028818.01</v>
      </c>
      <c r="O369" s="2" t="s">
        <v>25</v>
      </c>
      <c r="P369" s="5" t="str">
        <f t="shared" si="25"/>
        <v>2025-06</v>
      </c>
      <c r="Q369">
        <f t="shared" si="26"/>
        <v>82653.77</v>
      </c>
      <c r="R369">
        <f t="shared" si="27"/>
        <v>0</v>
      </c>
      <c r="S369" t="str">
        <f t="shared" si="28"/>
        <v>Cash-Based</v>
      </c>
      <c r="T369" t="str">
        <f t="shared" si="29"/>
        <v>One-Time User</v>
      </c>
    </row>
    <row r="370" spans="1:20" ht="15.75" customHeight="1" x14ac:dyDescent="0.3">
      <c r="A370" s="2" t="s">
        <v>826</v>
      </c>
      <c r="B370" s="2">
        <v>405648</v>
      </c>
      <c r="C370" s="2" t="s">
        <v>827</v>
      </c>
      <c r="D370" s="2">
        <v>360522614619</v>
      </c>
      <c r="E370" s="2" t="s">
        <v>18</v>
      </c>
      <c r="F370" s="2" t="s">
        <v>87</v>
      </c>
      <c r="G370" s="2" t="s">
        <v>88</v>
      </c>
      <c r="H370" s="2" t="s">
        <v>31</v>
      </c>
      <c r="I370" s="2" t="s">
        <v>38</v>
      </c>
      <c r="J370" s="2">
        <v>78021.990000000005</v>
      </c>
      <c r="K370" s="2" t="s">
        <v>39</v>
      </c>
      <c r="L370" s="3">
        <v>45312</v>
      </c>
      <c r="M370" s="2" t="s">
        <v>24</v>
      </c>
      <c r="N370" s="2">
        <v>370202.29</v>
      </c>
      <c r="O370" s="2" t="s">
        <v>25</v>
      </c>
      <c r="P370" s="5" t="str">
        <f t="shared" si="25"/>
        <v>2024-01</v>
      </c>
      <c r="Q370">
        <f t="shared" si="26"/>
        <v>-78021.990000000005</v>
      </c>
      <c r="R370">
        <f t="shared" si="27"/>
        <v>0</v>
      </c>
      <c r="S370" t="str">
        <f t="shared" si="28"/>
        <v>Cash-Based</v>
      </c>
      <c r="T370" t="str">
        <f t="shared" si="29"/>
        <v>One-Time User</v>
      </c>
    </row>
    <row r="371" spans="1:20" ht="15.75" customHeight="1" x14ac:dyDescent="0.3">
      <c r="A371" s="2" t="s">
        <v>828</v>
      </c>
      <c r="B371" s="2">
        <v>479949</v>
      </c>
      <c r="C371" s="2" t="s">
        <v>829</v>
      </c>
      <c r="D371" s="2">
        <v>175860036084</v>
      </c>
      <c r="E371" s="2" t="s">
        <v>28</v>
      </c>
      <c r="F371" s="2" t="s">
        <v>192</v>
      </c>
      <c r="G371" s="2" t="s">
        <v>193</v>
      </c>
      <c r="H371" s="2" t="s">
        <v>67</v>
      </c>
      <c r="I371" s="2" t="s">
        <v>38</v>
      </c>
      <c r="J371" s="2">
        <v>27892.53</v>
      </c>
      <c r="K371" s="2" t="s">
        <v>32</v>
      </c>
      <c r="L371" s="3">
        <v>45519</v>
      </c>
      <c r="M371" s="2" t="s">
        <v>24</v>
      </c>
      <c r="N371" s="2">
        <v>1226681.8400000001</v>
      </c>
      <c r="O371" s="2" t="s">
        <v>25</v>
      </c>
      <c r="P371" s="5" t="str">
        <f t="shared" si="25"/>
        <v>2024-08</v>
      </c>
      <c r="Q371">
        <f t="shared" si="26"/>
        <v>-27892.53</v>
      </c>
      <c r="R371">
        <f t="shared" si="27"/>
        <v>0</v>
      </c>
      <c r="S371" t="str">
        <f t="shared" si="28"/>
        <v>Cash-Based</v>
      </c>
      <c r="T371" t="str">
        <f t="shared" si="29"/>
        <v>One-Time User</v>
      </c>
    </row>
    <row r="372" spans="1:20" ht="15.75" customHeight="1" x14ac:dyDescent="0.3">
      <c r="A372" s="2" t="s">
        <v>830</v>
      </c>
      <c r="B372" s="2">
        <v>387939</v>
      </c>
      <c r="C372" s="2" t="s">
        <v>831</v>
      </c>
      <c r="D372" s="2">
        <v>260103738581</v>
      </c>
      <c r="E372" s="2" t="s">
        <v>28</v>
      </c>
      <c r="F372" s="2" t="s">
        <v>79</v>
      </c>
      <c r="G372" s="2" t="s">
        <v>80</v>
      </c>
      <c r="H372" s="2" t="s">
        <v>21</v>
      </c>
      <c r="I372" s="2" t="s">
        <v>38</v>
      </c>
      <c r="J372" s="2">
        <v>19862</v>
      </c>
      <c r="K372" s="2" t="s">
        <v>98</v>
      </c>
      <c r="L372" s="3">
        <v>45804</v>
      </c>
      <c r="M372" s="2" t="s">
        <v>168</v>
      </c>
      <c r="N372" s="2">
        <v>932608.28</v>
      </c>
      <c r="O372" s="2" t="s">
        <v>25</v>
      </c>
      <c r="P372" s="5" t="str">
        <f t="shared" si="25"/>
        <v>2025-05</v>
      </c>
      <c r="Q372">
        <f t="shared" si="26"/>
        <v>-19862</v>
      </c>
      <c r="R372">
        <f t="shared" si="27"/>
        <v>0</v>
      </c>
      <c r="S372" t="str">
        <f t="shared" si="28"/>
        <v>Cash-Based</v>
      </c>
      <c r="T372" t="str">
        <f t="shared" si="29"/>
        <v>One-Time User</v>
      </c>
    </row>
    <row r="373" spans="1:20" ht="15.75" customHeight="1" x14ac:dyDescent="0.3">
      <c r="A373" s="2" t="s">
        <v>832</v>
      </c>
      <c r="B373" s="2">
        <v>529371</v>
      </c>
      <c r="C373" s="2" t="s">
        <v>833</v>
      </c>
      <c r="D373" s="2">
        <v>696398414197</v>
      </c>
      <c r="E373" s="2" t="s">
        <v>35</v>
      </c>
      <c r="F373" s="2" t="s">
        <v>36</v>
      </c>
      <c r="G373" s="2" t="s">
        <v>37</v>
      </c>
      <c r="H373" s="2" t="s">
        <v>21</v>
      </c>
      <c r="I373" s="2" t="s">
        <v>38</v>
      </c>
      <c r="J373" s="2">
        <v>78464.289999999994</v>
      </c>
      <c r="K373" s="2" t="s">
        <v>39</v>
      </c>
      <c r="L373" s="3">
        <v>45176</v>
      </c>
      <c r="M373" s="2" t="s">
        <v>24</v>
      </c>
      <c r="N373" s="2">
        <v>1563610.66</v>
      </c>
      <c r="O373" s="2" t="s">
        <v>25</v>
      </c>
      <c r="P373" s="5" t="str">
        <f t="shared" si="25"/>
        <v>2023-09</v>
      </c>
      <c r="Q373">
        <f t="shared" si="26"/>
        <v>-78464.289999999994</v>
      </c>
      <c r="R373">
        <f t="shared" si="27"/>
        <v>0</v>
      </c>
      <c r="S373" t="str">
        <f t="shared" si="28"/>
        <v>Cash-Based</v>
      </c>
      <c r="T373" t="str">
        <f t="shared" si="29"/>
        <v>One-Time User</v>
      </c>
    </row>
    <row r="374" spans="1:20" ht="15.75" customHeight="1" x14ac:dyDescent="0.3">
      <c r="A374" s="2" t="s">
        <v>834</v>
      </c>
      <c r="B374" s="2">
        <v>990194</v>
      </c>
      <c r="C374" s="2" t="s">
        <v>835</v>
      </c>
      <c r="D374" s="2">
        <v>493757512103</v>
      </c>
      <c r="E374" s="2" t="s">
        <v>35</v>
      </c>
      <c r="F374" s="2" t="s">
        <v>60</v>
      </c>
      <c r="G374" s="2" t="s">
        <v>61</v>
      </c>
      <c r="H374" s="2" t="s">
        <v>70</v>
      </c>
      <c r="I374" s="2" t="s">
        <v>38</v>
      </c>
      <c r="J374" s="2">
        <v>142933.76999999999</v>
      </c>
      <c r="K374" s="2" t="s">
        <v>23</v>
      </c>
      <c r="L374" s="3">
        <v>45181</v>
      </c>
      <c r="M374" s="2" t="s">
        <v>24</v>
      </c>
      <c r="N374" s="2">
        <v>1697109.27</v>
      </c>
      <c r="O374" s="2" t="s">
        <v>25</v>
      </c>
      <c r="P374" s="5" t="str">
        <f t="shared" si="25"/>
        <v>2023-09</v>
      </c>
      <c r="Q374">
        <f t="shared" si="26"/>
        <v>-142933.76999999999</v>
      </c>
      <c r="R374">
        <f t="shared" si="27"/>
        <v>0</v>
      </c>
      <c r="S374" t="str">
        <f t="shared" si="28"/>
        <v>Digital</v>
      </c>
      <c r="T374" t="str">
        <f t="shared" si="29"/>
        <v>One-Time User</v>
      </c>
    </row>
    <row r="375" spans="1:20" ht="15.75" customHeight="1" x14ac:dyDescent="0.3">
      <c r="A375" s="2" t="s">
        <v>836</v>
      </c>
      <c r="B375" s="2">
        <v>970064</v>
      </c>
      <c r="C375" s="2" t="s">
        <v>837</v>
      </c>
      <c r="D375" s="2">
        <v>653060642611</v>
      </c>
      <c r="E375" s="2" t="s">
        <v>35</v>
      </c>
      <c r="F375" s="2" t="s">
        <v>36</v>
      </c>
      <c r="G375" s="2" t="s">
        <v>37</v>
      </c>
      <c r="H375" s="2" t="s">
        <v>70</v>
      </c>
      <c r="I375" s="2" t="s">
        <v>53</v>
      </c>
      <c r="J375" s="2">
        <v>151050.63</v>
      </c>
      <c r="K375" s="2" t="s">
        <v>98</v>
      </c>
      <c r="L375" s="3">
        <v>45380</v>
      </c>
      <c r="M375" s="2" t="s">
        <v>113</v>
      </c>
      <c r="N375" s="2">
        <v>1211040.1100000001</v>
      </c>
      <c r="O375" s="2" t="s">
        <v>179</v>
      </c>
      <c r="P375" s="5" t="str">
        <f t="shared" si="25"/>
        <v>2024-03</v>
      </c>
      <c r="Q375">
        <f t="shared" si="26"/>
        <v>151050.63</v>
      </c>
      <c r="R375">
        <f t="shared" si="27"/>
        <v>1</v>
      </c>
      <c r="S375" t="str">
        <f t="shared" si="28"/>
        <v>Cash-Based</v>
      </c>
      <c r="T375" t="str">
        <f t="shared" si="29"/>
        <v>One-Time User</v>
      </c>
    </row>
    <row r="376" spans="1:20" ht="15.75" customHeight="1" x14ac:dyDescent="0.3">
      <c r="A376" s="2" t="s">
        <v>838</v>
      </c>
      <c r="B376" s="2">
        <v>466409</v>
      </c>
      <c r="C376" s="2" t="s">
        <v>839</v>
      </c>
      <c r="D376" s="2">
        <v>881453879458</v>
      </c>
      <c r="E376" s="2" t="s">
        <v>91</v>
      </c>
      <c r="F376" s="2" t="s">
        <v>92</v>
      </c>
      <c r="G376" s="2" t="s">
        <v>93</v>
      </c>
      <c r="H376" s="2" t="s">
        <v>70</v>
      </c>
      <c r="I376" s="2" t="s">
        <v>22</v>
      </c>
      <c r="J376" s="2">
        <v>87369.06</v>
      </c>
      <c r="K376" s="2" t="s">
        <v>39</v>
      </c>
      <c r="L376" s="3">
        <v>45726</v>
      </c>
      <c r="M376" s="2" t="s">
        <v>24</v>
      </c>
      <c r="N376" s="2">
        <v>523219.45</v>
      </c>
      <c r="O376" s="2" t="s">
        <v>25</v>
      </c>
      <c r="P376" s="5" t="str">
        <f t="shared" si="25"/>
        <v>2025-03</v>
      </c>
      <c r="Q376">
        <f t="shared" si="26"/>
        <v>87369.06</v>
      </c>
      <c r="R376">
        <f t="shared" si="27"/>
        <v>0</v>
      </c>
      <c r="S376" t="str">
        <f t="shared" si="28"/>
        <v>Cash-Based</v>
      </c>
      <c r="T376" t="str">
        <f t="shared" si="29"/>
        <v>One-Time User</v>
      </c>
    </row>
    <row r="377" spans="1:20" ht="15.75" customHeight="1" x14ac:dyDescent="0.3">
      <c r="A377" s="2" t="s">
        <v>840</v>
      </c>
      <c r="B377" s="2">
        <v>691233</v>
      </c>
      <c r="C377" s="2" t="s">
        <v>841</v>
      </c>
      <c r="D377" s="2">
        <v>591674302857</v>
      </c>
      <c r="E377" s="2" t="s">
        <v>64</v>
      </c>
      <c r="F377" s="2" t="s">
        <v>177</v>
      </c>
      <c r="G377" s="2" t="s">
        <v>178</v>
      </c>
      <c r="H377" s="2" t="s">
        <v>31</v>
      </c>
      <c r="I377" s="2" t="s">
        <v>22</v>
      </c>
      <c r="J377" s="2">
        <v>466117.12</v>
      </c>
      <c r="K377" s="2" t="s">
        <v>49</v>
      </c>
      <c r="L377" s="3">
        <v>45665</v>
      </c>
      <c r="M377" s="2" t="s">
        <v>24</v>
      </c>
      <c r="N377" s="2">
        <v>559077.69999999995</v>
      </c>
      <c r="O377" s="2" t="s">
        <v>25</v>
      </c>
      <c r="P377" s="5" t="str">
        <f t="shared" si="25"/>
        <v>2025-01</v>
      </c>
      <c r="Q377">
        <f t="shared" si="26"/>
        <v>466117.12</v>
      </c>
      <c r="R377">
        <f t="shared" si="27"/>
        <v>0</v>
      </c>
      <c r="S377" t="str">
        <f t="shared" si="28"/>
        <v>Cash-Based</v>
      </c>
      <c r="T377" t="str">
        <f t="shared" si="29"/>
        <v>One-Time User</v>
      </c>
    </row>
    <row r="378" spans="1:20" ht="15.75" customHeight="1" x14ac:dyDescent="0.3">
      <c r="A378" s="2" t="s">
        <v>842</v>
      </c>
      <c r="B378" s="2">
        <v>923020</v>
      </c>
      <c r="C378" s="2" t="s">
        <v>843</v>
      </c>
      <c r="D378" s="2">
        <v>989318539943</v>
      </c>
      <c r="E378" s="2" t="s">
        <v>28</v>
      </c>
      <c r="F378" s="2" t="s">
        <v>216</v>
      </c>
      <c r="G378" s="2" t="s">
        <v>217</v>
      </c>
      <c r="H378" s="2" t="s">
        <v>70</v>
      </c>
      <c r="I378" s="2" t="s">
        <v>53</v>
      </c>
      <c r="J378" s="2">
        <v>352951.84</v>
      </c>
      <c r="K378" s="2" t="s">
        <v>23</v>
      </c>
      <c r="L378" s="3">
        <v>45612</v>
      </c>
      <c r="M378" s="2" t="s">
        <v>50</v>
      </c>
      <c r="N378" s="2">
        <v>1563217.64</v>
      </c>
      <c r="O378" s="2" t="s">
        <v>25</v>
      </c>
      <c r="P378" s="5" t="str">
        <f t="shared" si="25"/>
        <v>2024-11</v>
      </c>
      <c r="Q378">
        <f t="shared" si="26"/>
        <v>352951.84</v>
      </c>
      <c r="R378">
        <f t="shared" si="27"/>
        <v>0</v>
      </c>
      <c r="S378" t="str">
        <f t="shared" si="28"/>
        <v>Digital</v>
      </c>
      <c r="T378" t="str">
        <f t="shared" si="29"/>
        <v>One-Time User</v>
      </c>
    </row>
    <row r="379" spans="1:20" ht="15.75" customHeight="1" x14ac:dyDescent="0.3">
      <c r="A379" s="2" t="s">
        <v>844</v>
      </c>
      <c r="B379" s="2">
        <v>690626</v>
      </c>
      <c r="C379" s="2" t="s">
        <v>845</v>
      </c>
      <c r="D379" s="2">
        <v>223709347082</v>
      </c>
      <c r="E379" s="2" t="s">
        <v>64</v>
      </c>
      <c r="F379" s="2" t="s">
        <v>65</v>
      </c>
      <c r="G379" s="2" t="s">
        <v>66</v>
      </c>
      <c r="H379" s="2" t="s">
        <v>67</v>
      </c>
      <c r="I379" s="2" t="s">
        <v>48</v>
      </c>
      <c r="J379" s="2">
        <v>119830.79</v>
      </c>
      <c r="K379" s="2" t="s">
        <v>49</v>
      </c>
      <c r="L379" s="3">
        <v>45241</v>
      </c>
      <c r="M379" s="2" t="s">
        <v>24</v>
      </c>
      <c r="N379" s="2">
        <v>1196217.07</v>
      </c>
      <c r="O379" s="2" t="s">
        <v>25</v>
      </c>
      <c r="P379" s="5" t="str">
        <f t="shared" si="25"/>
        <v>2023-11</v>
      </c>
      <c r="Q379">
        <f t="shared" si="26"/>
        <v>119830.79</v>
      </c>
      <c r="R379">
        <f t="shared" si="27"/>
        <v>0</v>
      </c>
      <c r="S379" t="str">
        <f t="shared" si="28"/>
        <v>Cash-Based</v>
      </c>
      <c r="T379" t="str">
        <f t="shared" si="29"/>
        <v>One-Time User</v>
      </c>
    </row>
    <row r="380" spans="1:20" ht="15.75" customHeight="1" x14ac:dyDescent="0.3">
      <c r="A380" s="2" t="s">
        <v>846</v>
      </c>
      <c r="B380" s="2">
        <v>459550</v>
      </c>
      <c r="C380" s="2" t="s">
        <v>847</v>
      </c>
      <c r="D380" s="2">
        <v>798399336730</v>
      </c>
      <c r="E380" s="2" t="s">
        <v>35</v>
      </c>
      <c r="F380" s="2" t="s">
        <v>60</v>
      </c>
      <c r="G380" s="2" t="s">
        <v>61</v>
      </c>
      <c r="H380" s="2" t="s">
        <v>31</v>
      </c>
      <c r="I380" s="2" t="s">
        <v>53</v>
      </c>
      <c r="J380" s="2">
        <v>186576.31</v>
      </c>
      <c r="K380" s="2" t="s">
        <v>49</v>
      </c>
      <c r="L380" s="3">
        <v>45294</v>
      </c>
      <c r="M380" s="2" t="s">
        <v>24</v>
      </c>
      <c r="N380" s="2">
        <v>2009292.64</v>
      </c>
      <c r="O380" s="2" t="s">
        <v>25</v>
      </c>
      <c r="P380" s="5" t="str">
        <f t="shared" si="25"/>
        <v>2024-01</v>
      </c>
      <c r="Q380">
        <f t="shared" si="26"/>
        <v>186576.31</v>
      </c>
      <c r="R380">
        <f t="shared" si="27"/>
        <v>0</v>
      </c>
      <c r="S380" t="str">
        <f t="shared" si="28"/>
        <v>Cash-Based</v>
      </c>
      <c r="T380" t="str">
        <f t="shared" si="29"/>
        <v>One-Time User</v>
      </c>
    </row>
    <row r="381" spans="1:20" ht="15.75" customHeight="1" x14ac:dyDescent="0.3">
      <c r="A381" s="2" t="s">
        <v>848</v>
      </c>
      <c r="B381" s="2">
        <v>954780</v>
      </c>
      <c r="C381" s="2" t="s">
        <v>849</v>
      </c>
      <c r="D381" s="2">
        <v>791330814917</v>
      </c>
      <c r="E381" s="2" t="s">
        <v>18</v>
      </c>
      <c r="F381" s="2" t="s">
        <v>156</v>
      </c>
      <c r="G381" s="2" t="s">
        <v>157</v>
      </c>
      <c r="H381" s="2" t="s">
        <v>31</v>
      </c>
      <c r="I381" s="2" t="s">
        <v>48</v>
      </c>
      <c r="J381" s="2">
        <v>189202.98</v>
      </c>
      <c r="K381" s="2" t="s">
        <v>23</v>
      </c>
      <c r="L381" s="3">
        <v>45787</v>
      </c>
      <c r="M381" s="2" t="s">
        <v>24</v>
      </c>
      <c r="N381" s="2">
        <v>1137529.71</v>
      </c>
      <c r="O381" s="2" t="s">
        <v>25</v>
      </c>
      <c r="P381" s="5" t="str">
        <f t="shared" si="25"/>
        <v>2025-05</v>
      </c>
      <c r="Q381">
        <f t="shared" si="26"/>
        <v>189202.98</v>
      </c>
      <c r="R381">
        <f t="shared" si="27"/>
        <v>0</v>
      </c>
      <c r="S381" t="str">
        <f t="shared" si="28"/>
        <v>Digital</v>
      </c>
      <c r="T381" t="str">
        <f t="shared" si="29"/>
        <v>One-Time User</v>
      </c>
    </row>
    <row r="382" spans="1:20" ht="15.75" customHeight="1" x14ac:dyDescent="0.3">
      <c r="A382" s="2" t="s">
        <v>850</v>
      </c>
      <c r="B382" s="2">
        <v>171459</v>
      </c>
      <c r="C382" s="2" t="s">
        <v>851</v>
      </c>
      <c r="D382" s="2">
        <v>135190882700</v>
      </c>
      <c r="E382" s="2" t="s">
        <v>18</v>
      </c>
      <c r="F382" s="2" t="s">
        <v>19</v>
      </c>
      <c r="G382" s="2" t="s">
        <v>20</v>
      </c>
      <c r="H382" s="2" t="s">
        <v>21</v>
      </c>
      <c r="I382" s="2" t="s">
        <v>48</v>
      </c>
      <c r="J382" s="2">
        <v>102192.65</v>
      </c>
      <c r="K382" s="2" t="s">
        <v>49</v>
      </c>
      <c r="L382" s="3">
        <v>45237</v>
      </c>
      <c r="M382" s="2" t="s">
        <v>24</v>
      </c>
      <c r="N382" s="2">
        <v>564240.30999999994</v>
      </c>
      <c r="O382" s="2" t="s">
        <v>25</v>
      </c>
      <c r="P382" s="5" t="str">
        <f t="shared" si="25"/>
        <v>2023-11</v>
      </c>
      <c r="Q382">
        <f t="shared" si="26"/>
        <v>102192.65</v>
      </c>
      <c r="R382">
        <f t="shared" si="27"/>
        <v>0</v>
      </c>
      <c r="S382" t="str">
        <f t="shared" si="28"/>
        <v>Cash-Based</v>
      </c>
      <c r="T382" t="str">
        <f t="shared" si="29"/>
        <v>One-Time User</v>
      </c>
    </row>
    <row r="383" spans="1:20" ht="15.75" customHeight="1" x14ac:dyDescent="0.3">
      <c r="A383" s="2" t="s">
        <v>852</v>
      </c>
      <c r="B383" s="2">
        <v>568881</v>
      </c>
      <c r="C383" s="2" t="s">
        <v>853</v>
      </c>
      <c r="D383" s="2">
        <v>470200000951</v>
      </c>
      <c r="E383" s="2" t="s">
        <v>18</v>
      </c>
      <c r="F383" s="2" t="s">
        <v>19</v>
      </c>
      <c r="G383" s="2" t="s">
        <v>20</v>
      </c>
      <c r="H383" s="2" t="s">
        <v>21</v>
      </c>
      <c r="I383" s="2" t="s">
        <v>38</v>
      </c>
      <c r="J383" s="2">
        <v>20767.88</v>
      </c>
      <c r="K383" s="2" t="s">
        <v>32</v>
      </c>
      <c r="L383" s="3">
        <v>45449</v>
      </c>
      <c r="M383" s="2" t="s">
        <v>24</v>
      </c>
      <c r="N383" s="2">
        <v>1654884.72</v>
      </c>
      <c r="O383" s="2" t="s">
        <v>25</v>
      </c>
      <c r="P383" s="5" t="str">
        <f t="shared" si="25"/>
        <v>2024-06</v>
      </c>
      <c r="Q383">
        <f t="shared" si="26"/>
        <v>-20767.88</v>
      </c>
      <c r="R383">
        <f t="shared" si="27"/>
        <v>0</v>
      </c>
      <c r="S383" t="str">
        <f t="shared" si="28"/>
        <v>Cash-Based</v>
      </c>
      <c r="T383" t="str">
        <f t="shared" si="29"/>
        <v>One-Time User</v>
      </c>
    </row>
    <row r="384" spans="1:20" ht="15.75" customHeight="1" x14ac:dyDescent="0.3">
      <c r="A384" s="2" t="s">
        <v>854</v>
      </c>
      <c r="B384" s="2">
        <v>179714</v>
      </c>
      <c r="C384" s="2" t="s">
        <v>855</v>
      </c>
      <c r="D384" s="2">
        <v>501001062311</v>
      </c>
      <c r="E384" s="2" t="s">
        <v>35</v>
      </c>
      <c r="F384" s="2" t="s">
        <v>42</v>
      </c>
      <c r="G384" s="2" t="s">
        <v>43</v>
      </c>
      <c r="H384" s="2" t="s">
        <v>31</v>
      </c>
      <c r="I384" s="2" t="s">
        <v>38</v>
      </c>
      <c r="J384" s="2">
        <v>84312.88</v>
      </c>
      <c r="K384" s="2" t="s">
        <v>49</v>
      </c>
      <c r="L384" s="3">
        <v>45697</v>
      </c>
      <c r="M384" s="2" t="s">
        <v>24</v>
      </c>
      <c r="N384" s="2">
        <v>812688.42</v>
      </c>
      <c r="O384" s="2" t="s">
        <v>25</v>
      </c>
      <c r="P384" s="5" t="str">
        <f t="shared" si="25"/>
        <v>2025-02</v>
      </c>
      <c r="Q384">
        <f t="shared" si="26"/>
        <v>-84312.88</v>
      </c>
      <c r="R384">
        <f t="shared" si="27"/>
        <v>0</v>
      </c>
      <c r="S384" t="str">
        <f t="shared" si="28"/>
        <v>Cash-Based</v>
      </c>
      <c r="T384" t="str">
        <f t="shared" si="29"/>
        <v>One-Time User</v>
      </c>
    </row>
    <row r="385" spans="1:20" ht="15.75" customHeight="1" x14ac:dyDescent="0.3">
      <c r="A385" s="2" t="s">
        <v>856</v>
      </c>
      <c r="B385" s="2">
        <v>507234</v>
      </c>
      <c r="C385" s="2" t="s">
        <v>857</v>
      </c>
      <c r="D385" s="2">
        <v>878851872657</v>
      </c>
      <c r="E385" s="2" t="s">
        <v>91</v>
      </c>
      <c r="F385" s="2" t="s">
        <v>109</v>
      </c>
      <c r="G385" s="2" t="s">
        <v>110</v>
      </c>
      <c r="H385" s="2" t="s">
        <v>67</v>
      </c>
      <c r="I385" s="2" t="s">
        <v>22</v>
      </c>
      <c r="J385" s="2">
        <v>50275.6</v>
      </c>
      <c r="K385" s="2" t="s">
        <v>49</v>
      </c>
      <c r="L385" s="3">
        <v>45168</v>
      </c>
      <c r="M385" s="2" t="s">
        <v>24</v>
      </c>
      <c r="N385" s="2">
        <v>957657.80999999994</v>
      </c>
      <c r="O385" s="2" t="s">
        <v>25</v>
      </c>
      <c r="P385" s="5" t="str">
        <f t="shared" si="25"/>
        <v>2023-08</v>
      </c>
      <c r="Q385">
        <f t="shared" si="26"/>
        <v>50275.6</v>
      </c>
      <c r="R385">
        <f t="shared" si="27"/>
        <v>0</v>
      </c>
      <c r="S385" t="str">
        <f t="shared" si="28"/>
        <v>Cash-Based</v>
      </c>
      <c r="T385" t="str">
        <f t="shared" si="29"/>
        <v>One-Time User</v>
      </c>
    </row>
    <row r="386" spans="1:20" ht="15.75" customHeight="1" x14ac:dyDescent="0.3">
      <c r="A386" s="2" t="s">
        <v>858</v>
      </c>
      <c r="B386" s="2">
        <v>943899</v>
      </c>
      <c r="C386" s="2" t="s">
        <v>859</v>
      </c>
      <c r="D386" s="2">
        <v>474125754877</v>
      </c>
      <c r="E386" s="2" t="s">
        <v>91</v>
      </c>
      <c r="F386" s="2" t="s">
        <v>105</v>
      </c>
      <c r="G386" s="2" t="s">
        <v>106</v>
      </c>
      <c r="H386" s="2" t="s">
        <v>31</v>
      </c>
      <c r="I386" s="2" t="s">
        <v>22</v>
      </c>
      <c r="J386" s="2">
        <v>59673.87</v>
      </c>
      <c r="K386" s="2" t="s">
        <v>98</v>
      </c>
      <c r="L386" s="3">
        <v>45415</v>
      </c>
      <c r="M386" s="2" t="s">
        <v>24</v>
      </c>
      <c r="N386" s="2">
        <v>2031243.6</v>
      </c>
      <c r="O386" s="2" t="s">
        <v>25</v>
      </c>
      <c r="P386" s="5" t="str">
        <f t="shared" si="25"/>
        <v>2024-05</v>
      </c>
      <c r="Q386">
        <f t="shared" si="26"/>
        <v>59673.87</v>
      </c>
      <c r="R386">
        <f t="shared" si="27"/>
        <v>0</v>
      </c>
      <c r="S386" t="str">
        <f t="shared" si="28"/>
        <v>Cash-Based</v>
      </c>
      <c r="T386" t="str">
        <f t="shared" si="29"/>
        <v>One-Time User</v>
      </c>
    </row>
    <row r="387" spans="1:20" ht="15.75" customHeight="1" x14ac:dyDescent="0.3">
      <c r="A387" s="2" t="s">
        <v>860</v>
      </c>
      <c r="B387" s="2">
        <v>722523</v>
      </c>
      <c r="C387" s="2" t="s">
        <v>861</v>
      </c>
      <c r="D387" s="2">
        <v>498653114225</v>
      </c>
      <c r="E387" s="2" t="s">
        <v>18</v>
      </c>
      <c r="F387" s="2" t="s">
        <v>87</v>
      </c>
      <c r="G387" s="2" t="s">
        <v>88</v>
      </c>
      <c r="H387" s="2" t="s">
        <v>31</v>
      </c>
      <c r="I387" s="2" t="s">
        <v>22</v>
      </c>
      <c r="J387" s="2">
        <v>332407.67</v>
      </c>
      <c r="K387" s="2" t="s">
        <v>49</v>
      </c>
      <c r="L387" s="3">
        <v>45616</v>
      </c>
      <c r="M387" s="2" t="s">
        <v>24</v>
      </c>
      <c r="N387" s="2">
        <v>455920.87</v>
      </c>
      <c r="O387" s="2" t="s">
        <v>25</v>
      </c>
      <c r="P387" s="5" t="str">
        <f t="shared" ref="P387:P450" si="30">TEXT(L387,"yyyy-mm")</f>
        <v>2024-11</v>
      </c>
      <c r="Q387">
        <f t="shared" ref="Q387:Q450" si="31">IF(I387="Withdrawal",-J387,J387)</f>
        <v>332407.67</v>
      </c>
      <c r="R387">
        <f t="shared" ref="R387:R450" si="32">IF(O387="Yes",1,0)</f>
        <v>0</v>
      </c>
      <c r="S387" t="str">
        <f t="shared" ref="S387:S450" si="33">IF(OR(K387="ATM",K387="Mobile App",K387="UPI"),"Digital",IF(K387="Branch","Branch-Driven","Cash-Based"))</f>
        <v>Cash-Based</v>
      </c>
      <c r="T387" t="str">
        <f t="shared" ref="T387:T450" si="34">IF(COUNTIF($C:$C,C387)&gt;1,"Frequent Transactor","One-Time User")</f>
        <v>One-Time User</v>
      </c>
    </row>
    <row r="388" spans="1:20" ht="15.75" customHeight="1" x14ac:dyDescent="0.3">
      <c r="A388" s="2" t="s">
        <v>862</v>
      </c>
      <c r="B388" s="2">
        <v>427315</v>
      </c>
      <c r="C388" s="2" t="s">
        <v>863</v>
      </c>
      <c r="D388" s="2">
        <v>638707911830</v>
      </c>
      <c r="E388" s="2" t="s">
        <v>18</v>
      </c>
      <c r="F388" s="2" t="s">
        <v>46</v>
      </c>
      <c r="G388" s="2" t="s">
        <v>47</v>
      </c>
      <c r="H388" s="2" t="s">
        <v>21</v>
      </c>
      <c r="I388" s="2" t="s">
        <v>53</v>
      </c>
      <c r="J388" s="2">
        <v>350133.78</v>
      </c>
      <c r="K388" s="2" t="s">
        <v>98</v>
      </c>
      <c r="L388" s="3">
        <v>45690</v>
      </c>
      <c r="M388" s="2" t="s">
        <v>24</v>
      </c>
      <c r="N388" s="2">
        <v>1597588.23</v>
      </c>
      <c r="O388" s="2" t="s">
        <v>25</v>
      </c>
      <c r="P388" s="5" t="str">
        <f t="shared" si="30"/>
        <v>2025-02</v>
      </c>
      <c r="Q388">
        <f t="shared" si="31"/>
        <v>350133.78</v>
      </c>
      <c r="R388">
        <f t="shared" si="32"/>
        <v>0</v>
      </c>
      <c r="S388" t="str">
        <f t="shared" si="33"/>
        <v>Cash-Based</v>
      </c>
      <c r="T388" t="str">
        <f t="shared" si="34"/>
        <v>One-Time User</v>
      </c>
    </row>
    <row r="389" spans="1:20" ht="15.75" customHeight="1" x14ac:dyDescent="0.3">
      <c r="A389" s="2" t="s">
        <v>864</v>
      </c>
      <c r="B389" s="2">
        <v>528399</v>
      </c>
      <c r="C389" s="2" t="s">
        <v>865</v>
      </c>
      <c r="D389" s="2">
        <v>255848490692</v>
      </c>
      <c r="E389" s="2" t="s">
        <v>64</v>
      </c>
      <c r="F389" s="2" t="s">
        <v>83</v>
      </c>
      <c r="G389" s="2" t="s">
        <v>84</v>
      </c>
      <c r="H389" s="2" t="s">
        <v>70</v>
      </c>
      <c r="I389" s="2" t="s">
        <v>38</v>
      </c>
      <c r="J389" s="2">
        <v>23309.68</v>
      </c>
      <c r="K389" s="2" t="s">
        <v>98</v>
      </c>
      <c r="L389" s="3">
        <v>45632</v>
      </c>
      <c r="M389" s="2" t="s">
        <v>24</v>
      </c>
      <c r="N389" s="2">
        <v>1385627.33</v>
      </c>
      <c r="O389" s="2" t="s">
        <v>25</v>
      </c>
      <c r="P389" s="5" t="str">
        <f t="shared" si="30"/>
        <v>2024-12</v>
      </c>
      <c r="Q389">
        <f t="shared" si="31"/>
        <v>-23309.68</v>
      </c>
      <c r="R389">
        <f t="shared" si="32"/>
        <v>0</v>
      </c>
      <c r="S389" t="str">
        <f t="shared" si="33"/>
        <v>Cash-Based</v>
      </c>
      <c r="T389" t="str">
        <f t="shared" si="34"/>
        <v>One-Time User</v>
      </c>
    </row>
    <row r="390" spans="1:20" ht="15.75" customHeight="1" x14ac:dyDescent="0.3">
      <c r="A390" s="2" t="s">
        <v>866</v>
      </c>
      <c r="B390" s="2">
        <v>464910</v>
      </c>
      <c r="C390" s="2" t="s">
        <v>867</v>
      </c>
      <c r="D390" s="2">
        <v>539041777767</v>
      </c>
      <c r="E390" s="2" t="s">
        <v>35</v>
      </c>
      <c r="F390" s="2" t="s">
        <v>36</v>
      </c>
      <c r="G390" s="2" t="s">
        <v>37</v>
      </c>
      <c r="H390" s="2" t="s">
        <v>31</v>
      </c>
      <c r="I390" s="2" t="s">
        <v>48</v>
      </c>
      <c r="J390" s="2">
        <v>286156.07</v>
      </c>
      <c r="K390" s="2" t="s">
        <v>32</v>
      </c>
      <c r="L390" s="3">
        <v>45548</v>
      </c>
      <c r="M390" s="2" t="s">
        <v>113</v>
      </c>
      <c r="N390" s="2">
        <v>563593.56000000006</v>
      </c>
      <c r="O390" s="2" t="s">
        <v>25</v>
      </c>
      <c r="P390" s="5" t="str">
        <f t="shared" si="30"/>
        <v>2024-09</v>
      </c>
      <c r="Q390">
        <f t="shared" si="31"/>
        <v>286156.07</v>
      </c>
      <c r="R390">
        <f t="shared" si="32"/>
        <v>0</v>
      </c>
      <c r="S390" t="str">
        <f t="shared" si="33"/>
        <v>Cash-Based</v>
      </c>
      <c r="T390" t="str">
        <f t="shared" si="34"/>
        <v>One-Time User</v>
      </c>
    </row>
    <row r="391" spans="1:20" ht="15.75" customHeight="1" x14ac:dyDescent="0.3">
      <c r="A391" s="2" t="s">
        <v>868</v>
      </c>
      <c r="B391" s="2">
        <v>524813</v>
      </c>
      <c r="C391" s="2" t="s">
        <v>869</v>
      </c>
      <c r="D391" s="2">
        <v>845243604313</v>
      </c>
      <c r="E391" s="2" t="s">
        <v>91</v>
      </c>
      <c r="F391" s="2" t="s">
        <v>162</v>
      </c>
      <c r="G391" s="2" t="s">
        <v>163</v>
      </c>
      <c r="H391" s="2" t="s">
        <v>70</v>
      </c>
      <c r="I391" s="2" t="s">
        <v>22</v>
      </c>
      <c r="J391" s="2">
        <v>363834.7</v>
      </c>
      <c r="K391" s="2" t="s">
        <v>32</v>
      </c>
      <c r="L391" s="3">
        <v>45172</v>
      </c>
      <c r="M391" s="2" t="s">
        <v>24</v>
      </c>
      <c r="N391" s="2">
        <v>1065625.76</v>
      </c>
      <c r="O391" s="2" t="s">
        <v>25</v>
      </c>
      <c r="P391" s="5" t="str">
        <f t="shared" si="30"/>
        <v>2023-09</v>
      </c>
      <c r="Q391">
        <f t="shared" si="31"/>
        <v>363834.7</v>
      </c>
      <c r="R391">
        <f t="shared" si="32"/>
        <v>0</v>
      </c>
      <c r="S391" t="str">
        <f t="shared" si="33"/>
        <v>Cash-Based</v>
      </c>
      <c r="T391" t="str">
        <f t="shared" si="34"/>
        <v>One-Time User</v>
      </c>
    </row>
    <row r="392" spans="1:20" ht="15.75" customHeight="1" x14ac:dyDescent="0.3">
      <c r="A392" s="2" t="s">
        <v>870</v>
      </c>
      <c r="B392" s="2">
        <v>530475</v>
      </c>
      <c r="C392" s="2" t="s">
        <v>871</v>
      </c>
      <c r="D392" s="2">
        <v>810813549197</v>
      </c>
      <c r="E392" s="2" t="s">
        <v>28</v>
      </c>
      <c r="F392" s="2" t="s">
        <v>216</v>
      </c>
      <c r="G392" s="2" t="s">
        <v>217</v>
      </c>
      <c r="H392" s="2" t="s">
        <v>31</v>
      </c>
      <c r="I392" s="2" t="s">
        <v>22</v>
      </c>
      <c r="J392" s="2">
        <v>138404.46</v>
      </c>
      <c r="K392" s="2" t="s">
        <v>49</v>
      </c>
      <c r="L392" s="3">
        <v>45215</v>
      </c>
      <c r="M392" s="2" t="s">
        <v>24</v>
      </c>
      <c r="N392" s="2">
        <v>254646.03</v>
      </c>
      <c r="O392" s="2" t="s">
        <v>25</v>
      </c>
      <c r="P392" s="5" t="str">
        <f t="shared" si="30"/>
        <v>2023-10</v>
      </c>
      <c r="Q392">
        <f t="shared" si="31"/>
        <v>138404.46</v>
      </c>
      <c r="R392">
        <f t="shared" si="32"/>
        <v>0</v>
      </c>
      <c r="S392" t="str">
        <f t="shared" si="33"/>
        <v>Cash-Based</v>
      </c>
      <c r="T392" t="str">
        <f t="shared" si="34"/>
        <v>One-Time User</v>
      </c>
    </row>
    <row r="393" spans="1:20" ht="15.75" customHeight="1" x14ac:dyDescent="0.3">
      <c r="A393" s="2" t="s">
        <v>872</v>
      </c>
      <c r="B393" s="2">
        <v>842079</v>
      </c>
      <c r="C393" s="2" t="s">
        <v>873</v>
      </c>
      <c r="D393" s="2">
        <v>185744473826</v>
      </c>
      <c r="E393" s="2" t="s">
        <v>91</v>
      </c>
      <c r="F393" s="2" t="s">
        <v>92</v>
      </c>
      <c r="G393" s="2" t="s">
        <v>93</v>
      </c>
      <c r="H393" s="2" t="s">
        <v>67</v>
      </c>
      <c r="I393" s="2" t="s">
        <v>53</v>
      </c>
      <c r="J393" s="2">
        <v>174088.39</v>
      </c>
      <c r="K393" s="2" t="s">
        <v>98</v>
      </c>
      <c r="L393" s="3">
        <v>45576</v>
      </c>
      <c r="M393" s="2" t="s">
        <v>24</v>
      </c>
      <c r="N393" s="2">
        <v>913093.72</v>
      </c>
      <c r="O393" s="2" t="s">
        <v>25</v>
      </c>
      <c r="P393" s="5" t="str">
        <f t="shared" si="30"/>
        <v>2024-10</v>
      </c>
      <c r="Q393">
        <f t="shared" si="31"/>
        <v>174088.39</v>
      </c>
      <c r="R393">
        <f t="shared" si="32"/>
        <v>0</v>
      </c>
      <c r="S393" t="str">
        <f t="shared" si="33"/>
        <v>Cash-Based</v>
      </c>
      <c r="T393" t="str">
        <f t="shared" si="34"/>
        <v>One-Time User</v>
      </c>
    </row>
    <row r="394" spans="1:20" ht="15.75" customHeight="1" x14ac:dyDescent="0.3">
      <c r="A394" s="2" t="s">
        <v>874</v>
      </c>
      <c r="B394" s="2">
        <v>316483</v>
      </c>
      <c r="C394" s="2" t="s">
        <v>875</v>
      </c>
      <c r="D394" s="2">
        <v>370264472621</v>
      </c>
      <c r="E394" s="2" t="s">
        <v>64</v>
      </c>
      <c r="F394" s="2" t="s">
        <v>177</v>
      </c>
      <c r="G394" s="2" t="s">
        <v>178</v>
      </c>
      <c r="H394" s="2" t="s">
        <v>21</v>
      </c>
      <c r="I394" s="2" t="s">
        <v>53</v>
      </c>
      <c r="J394" s="2">
        <v>17664.689999999999</v>
      </c>
      <c r="K394" s="2" t="s">
        <v>49</v>
      </c>
      <c r="L394" s="3">
        <v>45768</v>
      </c>
      <c r="M394" s="2" t="s">
        <v>24</v>
      </c>
      <c r="N394" s="2">
        <v>192599.89</v>
      </c>
      <c r="O394" s="2" t="s">
        <v>25</v>
      </c>
      <c r="P394" s="5" t="str">
        <f t="shared" si="30"/>
        <v>2025-04</v>
      </c>
      <c r="Q394">
        <f t="shared" si="31"/>
        <v>17664.689999999999</v>
      </c>
      <c r="R394">
        <f t="shared" si="32"/>
        <v>0</v>
      </c>
      <c r="S394" t="str">
        <f t="shared" si="33"/>
        <v>Cash-Based</v>
      </c>
      <c r="T394" t="str">
        <f t="shared" si="34"/>
        <v>One-Time User</v>
      </c>
    </row>
    <row r="395" spans="1:20" ht="15.75" customHeight="1" x14ac:dyDescent="0.3">
      <c r="A395" s="2" t="s">
        <v>876</v>
      </c>
      <c r="B395" s="2">
        <v>167811</v>
      </c>
      <c r="C395" s="2" t="s">
        <v>877</v>
      </c>
      <c r="D395" s="2">
        <v>268731699044</v>
      </c>
      <c r="E395" s="2" t="s">
        <v>91</v>
      </c>
      <c r="F395" s="2" t="s">
        <v>130</v>
      </c>
      <c r="G395" s="2" t="s">
        <v>131</v>
      </c>
      <c r="H395" s="2" t="s">
        <v>67</v>
      </c>
      <c r="I395" s="2" t="s">
        <v>53</v>
      </c>
      <c r="J395" s="2">
        <v>35630.32</v>
      </c>
      <c r="K395" s="2" t="s">
        <v>23</v>
      </c>
      <c r="L395" s="3">
        <v>45199</v>
      </c>
      <c r="M395" s="2" t="s">
        <v>24</v>
      </c>
      <c r="N395" s="2">
        <v>972098.69</v>
      </c>
      <c r="O395" s="2" t="s">
        <v>25</v>
      </c>
      <c r="P395" s="5" t="str">
        <f t="shared" si="30"/>
        <v>2023-09</v>
      </c>
      <c r="Q395">
        <f t="shared" si="31"/>
        <v>35630.32</v>
      </c>
      <c r="R395">
        <f t="shared" si="32"/>
        <v>0</v>
      </c>
      <c r="S395" t="str">
        <f t="shared" si="33"/>
        <v>Digital</v>
      </c>
      <c r="T395" t="str">
        <f t="shared" si="34"/>
        <v>One-Time User</v>
      </c>
    </row>
    <row r="396" spans="1:20" ht="15.75" customHeight="1" x14ac:dyDescent="0.3">
      <c r="A396" s="2" t="s">
        <v>878</v>
      </c>
      <c r="B396" s="2">
        <v>734296</v>
      </c>
      <c r="C396" s="2" t="s">
        <v>879</v>
      </c>
      <c r="D396" s="2">
        <v>929691446167</v>
      </c>
      <c r="E396" s="2" t="s">
        <v>18</v>
      </c>
      <c r="F396" s="2" t="s">
        <v>19</v>
      </c>
      <c r="G396" s="2" t="s">
        <v>20</v>
      </c>
      <c r="H396" s="2" t="s">
        <v>67</v>
      </c>
      <c r="I396" s="2" t="s">
        <v>53</v>
      </c>
      <c r="J396" s="2">
        <v>373735.38</v>
      </c>
      <c r="K396" s="2" t="s">
        <v>49</v>
      </c>
      <c r="L396" s="3">
        <v>45400</v>
      </c>
      <c r="M396" s="2" t="s">
        <v>24</v>
      </c>
      <c r="N396" s="2">
        <v>562280.92000000004</v>
      </c>
      <c r="O396" s="2" t="s">
        <v>25</v>
      </c>
      <c r="P396" s="5" t="str">
        <f t="shared" si="30"/>
        <v>2024-04</v>
      </c>
      <c r="Q396">
        <f t="shared" si="31"/>
        <v>373735.38</v>
      </c>
      <c r="R396">
        <f t="shared" si="32"/>
        <v>0</v>
      </c>
      <c r="S396" t="str">
        <f t="shared" si="33"/>
        <v>Cash-Based</v>
      </c>
      <c r="T396" t="str">
        <f t="shared" si="34"/>
        <v>One-Time User</v>
      </c>
    </row>
    <row r="397" spans="1:20" ht="15.75" customHeight="1" x14ac:dyDescent="0.3">
      <c r="A397" s="2" t="s">
        <v>880</v>
      </c>
      <c r="B397" s="2">
        <v>807933</v>
      </c>
      <c r="C397" s="2" t="s">
        <v>881</v>
      </c>
      <c r="D397" s="2">
        <v>137391799979</v>
      </c>
      <c r="E397" s="2" t="s">
        <v>35</v>
      </c>
      <c r="F397" s="2" t="s">
        <v>73</v>
      </c>
      <c r="G397" s="2" t="s">
        <v>74</v>
      </c>
      <c r="H397" s="2" t="s">
        <v>21</v>
      </c>
      <c r="I397" s="2" t="s">
        <v>48</v>
      </c>
      <c r="J397" s="2">
        <v>274709.48</v>
      </c>
      <c r="K397" s="2" t="s">
        <v>49</v>
      </c>
      <c r="L397" s="3">
        <v>45665</v>
      </c>
      <c r="M397" s="2" t="s">
        <v>24</v>
      </c>
      <c r="N397" s="2">
        <v>827374.07999999996</v>
      </c>
      <c r="O397" s="2" t="s">
        <v>25</v>
      </c>
      <c r="P397" s="5" t="str">
        <f t="shared" si="30"/>
        <v>2025-01</v>
      </c>
      <c r="Q397">
        <f t="shared" si="31"/>
        <v>274709.48</v>
      </c>
      <c r="R397">
        <f t="shared" si="32"/>
        <v>0</v>
      </c>
      <c r="S397" t="str">
        <f t="shared" si="33"/>
        <v>Cash-Based</v>
      </c>
      <c r="T397" t="str">
        <f t="shared" si="34"/>
        <v>One-Time User</v>
      </c>
    </row>
    <row r="398" spans="1:20" ht="15.75" customHeight="1" x14ac:dyDescent="0.3">
      <c r="A398" s="2" t="s">
        <v>882</v>
      </c>
      <c r="B398" s="2">
        <v>595797</v>
      </c>
      <c r="C398" s="2" t="s">
        <v>883</v>
      </c>
      <c r="D398" s="2">
        <v>206574366417</v>
      </c>
      <c r="E398" s="2" t="s">
        <v>64</v>
      </c>
      <c r="F398" s="2" t="s">
        <v>166</v>
      </c>
      <c r="G398" s="2" t="s">
        <v>167</v>
      </c>
      <c r="H398" s="2" t="s">
        <v>31</v>
      </c>
      <c r="I398" s="2" t="s">
        <v>38</v>
      </c>
      <c r="J398" s="2">
        <v>47207.39</v>
      </c>
      <c r="K398" s="2" t="s">
        <v>32</v>
      </c>
      <c r="L398" s="3">
        <v>45681</v>
      </c>
      <c r="M398" s="2" t="s">
        <v>24</v>
      </c>
      <c r="N398" s="2">
        <v>1330535.8400000001</v>
      </c>
      <c r="O398" s="2" t="s">
        <v>25</v>
      </c>
      <c r="P398" s="5" t="str">
        <f t="shared" si="30"/>
        <v>2025-01</v>
      </c>
      <c r="Q398">
        <f t="shared" si="31"/>
        <v>-47207.39</v>
      </c>
      <c r="R398">
        <f t="shared" si="32"/>
        <v>0</v>
      </c>
      <c r="S398" t="str">
        <f t="shared" si="33"/>
        <v>Cash-Based</v>
      </c>
      <c r="T398" t="str">
        <f t="shared" si="34"/>
        <v>One-Time User</v>
      </c>
    </row>
    <row r="399" spans="1:20" ht="15.75" customHeight="1" x14ac:dyDescent="0.3">
      <c r="A399" s="2" t="s">
        <v>884</v>
      </c>
      <c r="B399" s="2">
        <v>638327</v>
      </c>
      <c r="C399" s="2" t="s">
        <v>885</v>
      </c>
      <c r="D399" s="2">
        <v>886848235656</v>
      </c>
      <c r="E399" s="2" t="s">
        <v>64</v>
      </c>
      <c r="F399" s="2" t="s">
        <v>146</v>
      </c>
      <c r="G399" s="2" t="s">
        <v>147</v>
      </c>
      <c r="H399" s="2" t="s">
        <v>21</v>
      </c>
      <c r="I399" s="2" t="s">
        <v>48</v>
      </c>
      <c r="J399" s="2">
        <v>53920.36</v>
      </c>
      <c r="K399" s="2" t="s">
        <v>49</v>
      </c>
      <c r="L399" s="3">
        <v>45347</v>
      </c>
      <c r="M399" s="2" t="s">
        <v>24</v>
      </c>
      <c r="N399" s="2">
        <v>557423.14</v>
      </c>
      <c r="O399" s="2" t="s">
        <v>25</v>
      </c>
      <c r="P399" s="5" t="str">
        <f t="shared" si="30"/>
        <v>2024-02</v>
      </c>
      <c r="Q399">
        <f t="shared" si="31"/>
        <v>53920.36</v>
      </c>
      <c r="R399">
        <f t="shared" si="32"/>
        <v>0</v>
      </c>
      <c r="S399" t="str">
        <f t="shared" si="33"/>
        <v>Cash-Based</v>
      </c>
      <c r="T399" t="str">
        <f t="shared" si="34"/>
        <v>One-Time User</v>
      </c>
    </row>
    <row r="400" spans="1:20" ht="15.75" customHeight="1" x14ac:dyDescent="0.3">
      <c r="A400" s="2" t="s">
        <v>886</v>
      </c>
      <c r="B400" s="2">
        <v>154017</v>
      </c>
      <c r="C400" s="2" t="s">
        <v>887</v>
      </c>
      <c r="D400" s="2">
        <v>399275894137</v>
      </c>
      <c r="E400" s="2" t="s">
        <v>64</v>
      </c>
      <c r="F400" s="2" t="s">
        <v>146</v>
      </c>
      <c r="G400" s="2" t="s">
        <v>147</v>
      </c>
      <c r="H400" s="2" t="s">
        <v>31</v>
      </c>
      <c r="I400" s="2" t="s">
        <v>48</v>
      </c>
      <c r="J400" s="2">
        <v>10220.280000000001</v>
      </c>
      <c r="K400" s="2" t="s">
        <v>98</v>
      </c>
      <c r="L400" s="3">
        <v>45279</v>
      </c>
      <c r="M400" s="2" t="s">
        <v>24</v>
      </c>
      <c r="N400" s="2">
        <v>1490511.61</v>
      </c>
      <c r="O400" s="2" t="s">
        <v>25</v>
      </c>
      <c r="P400" s="5" t="str">
        <f t="shared" si="30"/>
        <v>2023-12</v>
      </c>
      <c r="Q400">
        <f t="shared" si="31"/>
        <v>10220.280000000001</v>
      </c>
      <c r="R400">
        <f t="shared" si="32"/>
        <v>0</v>
      </c>
      <c r="S400" t="str">
        <f t="shared" si="33"/>
        <v>Cash-Based</v>
      </c>
      <c r="T400" t="str">
        <f t="shared" si="34"/>
        <v>One-Time User</v>
      </c>
    </row>
    <row r="401" spans="1:20" ht="15.75" customHeight="1" x14ac:dyDescent="0.3">
      <c r="A401" s="2" t="s">
        <v>888</v>
      </c>
      <c r="B401" s="2">
        <v>764808</v>
      </c>
      <c r="C401" s="2" t="s">
        <v>889</v>
      </c>
      <c r="D401" s="2">
        <v>790847728908</v>
      </c>
      <c r="E401" s="2" t="s">
        <v>91</v>
      </c>
      <c r="F401" s="2" t="s">
        <v>105</v>
      </c>
      <c r="G401" s="2" t="s">
        <v>106</v>
      </c>
      <c r="H401" s="2" t="s">
        <v>21</v>
      </c>
      <c r="I401" s="2" t="s">
        <v>48</v>
      </c>
      <c r="J401" s="2">
        <v>206210.04</v>
      </c>
      <c r="K401" s="2" t="s">
        <v>49</v>
      </c>
      <c r="L401" s="3">
        <v>45685</v>
      </c>
      <c r="M401" s="2" t="s">
        <v>24</v>
      </c>
      <c r="N401" s="2">
        <v>2094313.48</v>
      </c>
      <c r="O401" s="2" t="s">
        <v>25</v>
      </c>
      <c r="P401" s="5" t="str">
        <f t="shared" si="30"/>
        <v>2025-01</v>
      </c>
      <c r="Q401">
        <f t="shared" si="31"/>
        <v>206210.04</v>
      </c>
      <c r="R401">
        <f t="shared" si="32"/>
        <v>0</v>
      </c>
      <c r="S401" t="str">
        <f t="shared" si="33"/>
        <v>Cash-Based</v>
      </c>
      <c r="T401" t="str">
        <f t="shared" si="34"/>
        <v>One-Time User</v>
      </c>
    </row>
    <row r="402" spans="1:20" ht="15.75" customHeight="1" x14ac:dyDescent="0.3">
      <c r="A402" s="2" t="s">
        <v>890</v>
      </c>
      <c r="B402" s="2">
        <v>423000</v>
      </c>
      <c r="C402" s="2" t="s">
        <v>891</v>
      </c>
      <c r="D402" s="2">
        <v>920735094027</v>
      </c>
      <c r="E402" s="2" t="s">
        <v>64</v>
      </c>
      <c r="F402" s="2" t="s">
        <v>177</v>
      </c>
      <c r="G402" s="2" t="s">
        <v>178</v>
      </c>
      <c r="H402" s="2" t="s">
        <v>21</v>
      </c>
      <c r="I402" s="2" t="s">
        <v>48</v>
      </c>
      <c r="J402" s="2">
        <v>215474.39</v>
      </c>
      <c r="K402" s="2" t="s">
        <v>39</v>
      </c>
      <c r="L402" s="3">
        <v>45573</v>
      </c>
      <c r="M402" s="2" t="s">
        <v>24</v>
      </c>
      <c r="N402" s="2">
        <v>1178451.6100000001</v>
      </c>
      <c r="O402" s="2" t="s">
        <v>25</v>
      </c>
      <c r="P402" s="5" t="str">
        <f t="shared" si="30"/>
        <v>2024-10</v>
      </c>
      <c r="Q402">
        <f t="shared" si="31"/>
        <v>215474.39</v>
      </c>
      <c r="R402">
        <f t="shared" si="32"/>
        <v>0</v>
      </c>
      <c r="S402" t="str">
        <f t="shared" si="33"/>
        <v>Cash-Based</v>
      </c>
      <c r="T402" t="str">
        <f t="shared" si="34"/>
        <v>One-Time User</v>
      </c>
    </row>
    <row r="403" spans="1:20" ht="15.75" customHeight="1" x14ac:dyDescent="0.3">
      <c r="A403" s="2" t="s">
        <v>892</v>
      </c>
      <c r="B403" s="2">
        <v>130377</v>
      </c>
      <c r="C403" s="2" t="s">
        <v>893</v>
      </c>
      <c r="D403" s="2">
        <v>985849548224</v>
      </c>
      <c r="E403" s="2" t="s">
        <v>35</v>
      </c>
      <c r="F403" s="2" t="s">
        <v>73</v>
      </c>
      <c r="G403" s="2" t="s">
        <v>74</v>
      </c>
      <c r="H403" s="2" t="s">
        <v>67</v>
      </c>
      <c r="I403" s="2" t="s">
        <v>48</v>
      </c>
      <c r="J403" s="2">
        <v>70527.759999999995</v>
      </c>
      <c r="K403" s="2" t="s">
        <v>32</v>
      </c>
      <c r="L403" s="3">
        <v>45541</v>
      </c>
      <c r="M403" s="2" t="s">
        <v>24</v>
      </c>
      <c r="N403" s="2">
        <v>379125.15</v>
      </c>
      <c r="O403" s="2" t="s">
        <v>25</v>
      </c>
      <c r="P403" s="5" t="str">
        <f t="shared" si="30"/>
        <v>2024-09</v>
      </c>
      <c r="Q403">
        <f t="shared" si="31"/>
        <v>70527.759999999995</v>
      </c>
      <c r="R403">
        <f t="shared" si="32"/>
        <v>0</v>
      </c>
      <c r="S403" t="str">
        <f t="shared" si="33"/>
        <v>Cash-Based</v>
      </c>
      <c r="T403" t="str">
        <f t="shared" si="34"/>
        <v>One-Time User</v>
      </c>
    </row>
    <row r="404" spans="1:20" ht="15.75" customHeight="1" x14ac:dyDescent="0.3">
      <c r="A404" s="2" t="s">
        <v>894</v>
      </c>
      <c r="B404" s="2">
        <v>460288</v>
      </c>
      <c r="C404" s="2" t="s">
        <v>895</v>
      </c>
      <c r="D404" s="2">
        <v>843965511244</v>
      </c>
      <c r="E404" s="2" t="s">
        <v>91</v>
      </c>
      <c r="F404" s="2" t="s">
        <v>162</v>
      </c>
      <c r="G404" s="2" t="s">
        <v>163</v>
      </c>
      <c r="H404" s="2" t="s">
        <v>21</v>
      </c>
      <c r="I404" s="2" t="s">
        <v>22</v>
      </c>
      <c r="J404" s="2">
        <v>512577</v>
      </c>
      <c r="K404" s="2" t="s">
        <v>32</v>
      </c>
      <c r="L404" s="3">
        <v>45303</v>
      </c>
      <c r="M404" s="2" t="s">
        <v>24</v>
      </c>
      <c r="N404" s="2">
        <v>1566981.75</v>
      </c>
      <c r="O404" s="2" t="s">
        <v>25</v>
      </c>
      <c r="P404" s="5" t="str">
        <f t="shared" si="30"/>
        <v>2024-01</v>
      </c>
      <c r="Q404">
        <f t="shared" si="31"/>
        <v>512577</v>
      </c>
      <c r="R404">
        <f t="shared" si="32"/>
        <v>0</v>
      </c>
      <c r="S404" t="str">
        <f t="shared" si="33"/>
        <v>Cash-Based</v>
      </c>
      <c r="T404" t="str">
        <f t="shared" si="34"/>
        <v>One-Time User</v>
      </c>
    </row>
    <row r="405" spans="1:20" ht="15.75" customHeight="1" x14ac:dyDescent="0.3">
      <c r="A405" s="2" t="s">
        <v>896</v>
      </c>
      <c r="B405" s="2">
        <v>965955</v>
      </c>
      <c r="C405" s="2" t="s">
        <v>897</v>
      </c>
      <c r="D405" s="2">
        <v>737028625937</v>
      </c>
      <c r="E405" s="2" t="s">
        <v>91</v>
      </c>
      <c r="F405" s="2" t="s">
        <v>109</v>
      </c>
      <c r="G405" s="2" t="s">
        <v>110</v>
      </c>
      <c r="H405" s="2" t="s">
        <v>21</v>
      </c>
      <c r="I405" s="2" t="s">
        <v>48</v>
      </c>
      <c r="J405" s="2">
        <v>155790.78</v>
      </c>
      <c r="K405" s="2" t="s">
        <v>32</v>
      </c>
      <c r="L405" s="3">
        <v>45428</v>
      </c>
      <c r="M405" s="2" t="s">
        <v>113</v>
      </c>
      <c r="N405" s="2">
        <v>1689624.8</v>
      </c>
      <c r="O405" s="2" t="s">
        <v>25</v>
      </c>
      <c r="P405" s="5" t="str">
        <f t="shared" si="30"/>
        <v>2024-05</v>
      </c>
      <c r="Q405">
        <f t="shared" si="31"/>
        <v>155790.78</v>
      </c>
      <c r="R405">
        <f t="shared" si="32"/>
        <v>0</v>
      </c>
      <c r="S405" t="str">
        <f t="shared" si="33"/>
        <v>Cash-Based</v>
      </c>
      <c r="T405" t="str">
        <f t="shared" si="34"/>
        <v>One-Time User</v>
      </c>
    </row>
    <row r="406" spans="1:20" ht="15.75" customHeight="1" x14ac:dyDescent="0.3">
      <c r="A406" s="2" t="s">
        <v>898</v>
      </c>
      <c r="B406" s="2">
        <v>118796</v>
      </c>
      <c r="C406" s="2" t="s">
        <v>899</v>
      </c>
      <c r="D406" s="2">
        <v>680174339647</v>
      </c>
      <c r="E406" s="2" t="s">
        <v>91</v>
      </c>
      <c r="F406" s="2" t="s">
        <v>109</v>
      </c>
      <c r="G406" s="2" t="s">
        <v>110</v>
      </c>
      <c r="H406" s="2" t="s">
        <v>31</v>
      </c>
      <c r="I406" s="2" t="s">
        <v>38</v>
      </c>
      <c r="J406" s="2">
        <v>65204.76</v>
      </c>
      <c r="K406" s="2" t="s">
        <v>23</v>
      </c>
      <c r="L406" s="3">
        <v>45440</v>
      </c>
      <c r="M406" s="2" t="s">
        <v>24</v>
      </c>
      <c r="N406" s="2">
        <v>1799671.19</v>
      </c>
      <c r="O406" s="2" t="s">
        <v>25</v>
      </c>
      <c r="P406" s="5" t="str">
        <f t="shared" si="30"/>
        <v>2024-05</v>
      </c>
      <c r="Q406">
        <f t="shared" si="31"/>
        <v>-65204.76</v>
      </c>
      <c r="R406">
        <f t="shared" si="32"/>
        <v>0</v>
      </c>
      <c r="S406" t="str">
        <f t="shared" si="33"/>
        <v>Digital</v>
      </c>
      <c r="T406" t="str">
        <f t="shared" si="34"/>
        <v>One-Time User</v>
      </c>
    </row>
    <row r="407" spans="1:20" ht="15.75" customHeight="1" x14ac:dyDescent="0.3">
      <c r="A407" s="2" t="s">
        <v>900</v>
      </c>
      <c r="B407" s="2">
        <v>812461</v>
      </c>
      <c r="C407" s="2" t="s">
        <v>901</v>
      </c>
      <c r="D407" s="2">
        <v>913958837565</v>
      </c>
      <c r="E407" s="2" t="s">
        <v>28</v>
      </c>
      <c r="F407" s="2" t="s">
        <v>216</v>
      </c>
      <c r="G407" s="2" t="s">
        <v>217</v>
      </c>
      <c r="H407" s="2" t="s">
        <v>67</v>
      </c>
      <c r="I407" s="2" t="s">
        <v>38</v>
      </c>
      <c r="J407" s="2">
        <v>99147.16</v>
      </c>
      <c r="K407" s="2" t="s">
        <v>49</v>
      </c>
      <c r="L407" s="3">
        <v>45354</v>
      </c>
      <c r="M407" s="2" t="s">
        <v>24</v>
      </c>
      <c r="N407" s="2">
        <v>1505998.48</v>
      </c>
      <c r="O407" s="2" t="s">
        <v>25</v>
      </c>
      <c r="P407" s="5" t="str">
        <f t="shared" si="30"/>
        <v>2024-03</v>
      </c>
      <c r="Q407">
        <f t="shared" si="31"/>
        <v>-99147.16</v>
      </c>
      <c r="R407">
        <f t="shared" si="32"/>
        <v>0</v>
      </c>
      <c r="S407" t="str">
        <f t="shared" si="33"/>
        <v>Cash-Based</v>
      </c>
      <c r="T407" t="str">
        <f t="shared" si="34"/>
        <v>One-Time User</v>
      </c>
    </row>
    <row r="408" spans="1:20" ht="15.75" customHeight="1" x14ac:dyDescent="0.3">
      <c r="A408" s="2" t="s">
        <v>902</v>
      </c>
      <c r="B408" s="2">
        <v>655225</v>
      </c>
      <c r="C408" s="2" t="s">
        <v>903</v>
      </c>
      <c r="D408" s="2">
        <v>653731524065</v>
      </c>
      <c r="E408" s="2" t="s">
        <v>28</v>
      </c>
      <c r="F408" s="2" t="s">
        <v>192</v>
      </c>
      <c r="G408" s="2" t="s">
        <v>193</v>
      </c>
      <c r="H408" s="2" t="s">
        <v>70</v>
      </c>
      <c r="I408" s="2" t="s">
        <v>22</v>
      </c>
      <c r="J408" s="2">
        <v>380588.13</v>
      </c>
      <c r="K408" s="2" t="s">
        <v>32</v>
      </c>
      <c r="L408" s="3">
        <v>45821</v>
      </c>
      <c r="M408" s="2" t="s">
        <v>24</v>
      </c>
      <c r="N408" s="2">
        <v>2102641.09</v>
      </c>
      <c r="O408" s="2" t="s">
        <v>25</v>
      </c>
      <c r="P408" s="5" t="str">
        <f t="shared" si="30"/>
        <v>2025-06</v>
      </c>
      <c r="Q408">
        <f t="shared" si="31"/>
        <v>380588.13</v>
      </c>
      <c r="R408">
        <f t="shared" si="32"/>
        <v>0</v>
      </c>
      <c r="S408" t="str">
        <f t="shared" si="33"/>
        <v>Cash-Based</v>
      </c>
      <c r="T408" t="str">
        <f t="shared" si="34"/>
        <v>One-Time User</v>
      </c>
    </row>
    <row r="409" spans="1:20" ht="15.75" customHeight="1" x14ac:dyDescent="0.3">
      <c r="A409" s="2" t="s">
        <v>904</v>
      </c>
      <c r="B409" s="2">
        <v>761846</v>
      </c>
      <c r="C409" s="2" t="s">
        <v>905</v>
      </c>
      <c r="D409" s="2">
        <v>847891210164</v>
      </c>
      <c r="E409" s="2" t="s">
        <v>28</v>
      </c>
      <c r="F409" s="2" t="s">
        <v>79</v>
      </c>
      <c r="G409" s="2" t="s">
        <v>80</v>
      </c>
      <c r="H409" s="2" t="s">
        <v>67</v>
      </c>
      <c r="I409" s="2" t="s">
        <v>53</v>
      </c>
      <c r="J409" s="2">
        <v>15732.38</v>
      </c>
      <c r="K409" s="2" t="s">
        <v>98</v>
      </c>
      <c r="L409" s="3">
        <v>45366</v>
      </c>
      <c r="M409" s="2" t="s">
        <v>24</v>
      </c>
      <c r="N409" s="2">
        <v>1410079.97</v>
      </c>
      <c r="O409" s="2" t="s">
        <v>179</v>
      </c>
      <c r="P409" s="5" t="str">
        <f t="shared" si="30"/>
        <v>2024-03</v>
      </c>
      <c r="Q409">
        <f t="shared" si="31"/>
        <v>15732.38</v>
      </c>
      <c r="R409">
        <f t="shared" si="32"/>
        <v>1</v>
      </c>
      <c r="S409" t="str">
        <f t="shared" si="33"/>
        <v>Cash-Based</v>
      </c>
      <c r="T409" t="str">
        <f t="shared" si="34"/>
        <v>One-Time User</v>
      </c>
    </row>
    <row r="410" spans="1:20" ht="15.75" customHeight="1" x14ac:dyDescent="0.3">
      <c r="A410" s="2" t="s">
        <v>906</v>
      </c>
      <c r="B410" s="2">
        <v>603602</v>
      </c>
      <c r="C410" s="2" t="s">
        <v>907</v>
      </c>
      <c r="D410" s="2">
        <v>214912003953</v>
      </c>
      <c r="E410" s="2" t="s">
        <v>28</v>
      </c>
      <c r="F410" s="2" t="s">
        <v>192</v>
      </c>
      <c r="G410" s="2" t="s">
        <v>193</v>
      </c>
      <c r="H410" s="2" t="s">
        <v>67</v>
      </c>
      <c r="I410" s="2" t="s">
        <v>48</v>
      </c>
      <c r="J410" s="2">
        <v>66658.89</v>
      </c>
      <c r="K410" s="2" t="s">
        <v>32</v>
      </c>
      <c r="L410" s="3">
        <v>45264</v>
      </c>
      <c r="M410" s="2" t="s">
        <v>24</v>
      </c>
      <c r="N410" s="2">
        <v>846851.16</v>
      </c>
      <c r="O410" s="2" t="s">
        <v>25</v>
      </c>
      <c r="P410" s="5" t="str">
        <f t="shared" si="30"/>
        <v>2023-12</v>
      </c>
      <c r="Q410">
        <f t="shared" si="31"/>
        <v>66658.89</v>
      </c>
      <c r="R410">
        <f t="shared" si="32"/>
        <v>0</v>
      </c>
      <c r="S410" t="str">
        <f t="shared" si="33"/>
        <v>Cash-Based</v>
      </c>
      <c r="T410" t="str">
        <f t="shared" si="34"/>
        <v>One-Time User</v>
      </c>
    </row>
    <row r="411" spans="1:20" ht="15.75" customHeight="1" x14ac:dyDescent="0.3">
      <c r="A411" s="2" t="s">
        <v>908</v>
      </c>
      <c r="B411" s="2">
        <v>771785</v>
      </c>
      <c r="C411" s="2" t="s">
        <v>909</v>
      </c>
      <c r="D411" s="2">
        <v>160325421103</v>
      </c>
      <c r="E411" s="2" t="s">
        <v>28</v>
      </c>
      <c r="F411" s="2" t="s">
        <v>29</v>
      </c>
      <c r="G411" s="2" t="s">
        <v>30</v>
      </c>
      <c r="H411" s="2" t="s">
        <v>21</v>
      </c>
      <c r="I411" s="2" t="s">
        <v>53</v>
      </c>
      <c r="J411" s="2">
        <v>15483.43</v>
      </c>
      <c r="K411" s="2" t="s">
        <v>23</v>
      </c>
      <c r="L411" s="3">
        <v>45459</v>
      </c>
      <c r="M411" s="2" t="s">
        <v>24</v>
      </c>
      <c r="N411" s="2">
        <v>338089.14</v>
      </c>
      <c r="O411" s="2" t="s">
        <v>25</v>
      </c>
      <c r="P411" s="5" t="str">
        <f t="shared" si="30"/>
        <v>2024-06</v>
      </c>
      <c r="Q411">
        <f t="shared" si="31"/>
        <v>15483.43</v>
      </c>
      <c r="R411">
        <f t="shared" si="32"/>
        <v>0</v>
      </c>
      <c r="S411" t="str">
        <f t="shared" si="33"/>
        <v>Digital</v>
      </c>
      <c r="T411" t="str">
        <f t="shared" si="34"/>
        <v>One-Time User</v>
      </c>
    </row>
    <row r="412" spans="1:20" ht="15.75" customHeight="1" x14ac:dyDescent="0.3">
      <c r="A412" s="2" t="s">
        <v>910</v>
      </c>
      <c r="B412" s="2">
        <v>690698</v>
      </c>
      <c r="C412" s="2" t="s">
        <v>911</v>
      </c>
      <c r="D412" s="2">
        <v>602975157401</v>
      </c>
      <c r="E412" s="2" t="s">
        <v>28</v>
      </c>
      <c r="F412" s="2" t="s">
        <v>29</v>
      </c>
      <c r="G412" s="2" t="s">
        <v>30</v>
      </c>
      <c r="H412" s="2" t="s">
        <v>31</v>
      </c>
      <c r="I412" s="2" t="s">
        <v>22</v>
      </c>
      <c r="J412" s="2">
        <v>188855.58</v>
      </c>
      <c r="K412" s="2" t="s">
        <v>32</v>
      </c>
      <c r="L412" s="3">
        <v>45738</v>
      </c>
      <c r="M412" s="2" t="s">
        <v>24</v>
      </c>
      <c r="N412" s="2">
        <v>1261486.8600000001</v>
      </c>
      <c r="O412" s="2" t="s">
        <v>25</v>
      </c>
      <c r="P412" s="5" t="str">
        <f t="shared" si="30"/>
        <v>2025-03</v>
      </c>
      <c r="Q412">
        <f t="shared" si="31"/>
        <v>188855.58</v>
      </c>
      <c r="R412">
        <f t="shared" si="32"/>
        <v>0</v>
      </c>
      <c r="S412" t="str">
        <f t="shared" si="33"/>
        <v>Cash-Based</v>
      </c>
      <c r="T412" t="str">
        <f t="shared" si="34"/>
        <v>One-Time User</v>
      </c>
    </row>
    <row r="413" spans="1:20" ht="15.75" customHeight="1" x14ac:dyDescent="0.3">
      <c r="A413" s="2" t="s">
        <v>912</v>
      </c>
      <c r="B413" s="2">
        <v>509024</v>
      </c>
      <c r="C413" s="2" t="s">
        <v>913</v>
      </c>
      <c r="D413" s="2">
        <v>942224459011</v>
      </c>
      <c r="E413" s="2" t="s">
        <v>28</v>
      </c>
      <c r="F413" s="2" t="s">
        <v>216</v>
      </c>
      <c r="G413" s="2" t="s">
        <v>217</v>
      </c>
      <c r="H413" s="2" t="s">
        <v>31</v>
      </c>
      <c r="I413" s="2" t="s">
        <v>22</v>
      </c>
      <c r="J413" s="2">
        <v>360614.5</v>
      </c>
      <c r="K413" s="2" t="s">
        <v>98</v>
      </c>
      <c r="L413" s="3">
        <v>45365</v>
      </c>
      <c r="M413" s="2" t="s">
        <v>24</v>
      </c>
      <c r="N413" s="2">
        <v>2008641.96</v>
      </c>
      <c r="O413" s="2" t="s">
        <v>25</v>
      </c>
      <c r="P413" s="5" t="str">
        <f t="shared" si="30"/>
        <v>2024-03</v>
      </c>
      <c r="Q413">
        <f t="shared" si="31"/>
        <v>360614.5</v>
      </c>
      <c r="R413">
        <f t="shared" si="32"/>
        <v>0</v>
      </c>
      <c r="S413" t="str">
        <f t="shared" si="33"/>
        <v>Cash-Based</v>
      </c>
      <c r="T413" t="str">
        <f t="shared" si="34"/>
        <v>One-Time User</v>
      </c>
    </row>
    <row r="414" spans="1:20" ht="15.75" customHeight="1" x14ac:dyDescent="0.3">
      <c r="A414" s="2" t="s">
        <v>914</v>
      </c>
      <c r="B414" s="2">
        <v>659674</v>
      </c>
      <c r="C414" s="2" t="s">
        <v>915</v>
      </c>
      <c r="D414" s="2">
        <v>834218669029</v>
      </c>
      <c r="E414" s="2" t="s">
        <v>64</v>
      </c>
      <c r="F414" s="2" t="s">
        <v>83</v>
      </c>
      <c r="G414" s="2" t="s">
        <v>84</v>
      </c>
      <c r="H414" s="2" t="s">
        <v>67</v>
      </c>
      <c r="I414" s="2" t="s">
        <v>22</v>
      </c>
      <c r="J414" s="2">
        <v>473663.77</v>
      </c>
      <c r="K414" s="2" t="s">
        <v>49</v>
      </c>
      <c r="L414" s="3">
        <v>45806</v>
      </c>
      <c r="M414" s="2" t="s">
        <v>24</v>
      </c>
      <c r="N414" s="2">
        <v>1298379.1299999999</v>
      </c>
      <c r="O414" s="2" t="s">
        <v>25</v>
      </c>
      <c r="P414" s="5" t="str">
        <f t="shared" si="30"/>
        <v>2025-05</v>
      </c>
      <c r="Q414">
        <f t="shared" si="31"/>
        <v>473663.77</v>
      </c>
      <c r="R414">
        <f t="shared" si="32"/>
        <v>0</v>
      </c>
      <c r="S414" t="str">
        <f t="shared" si="33"/>
        <v>Cash-Based</v>
      </c>
      <c r="T414" t="str">
        <f t="shared" si="34"/>
        <v>One-Time User</v>
      </c>
    </row>
    <row r="415" spans="1:20" ht="15.75" customHeight="1" x14ac:dyDescent="0.3">
      <c r="A415" s="2" t="s">
        <v>916</v>
      </c>
      <c r="B415" s="2">
        <v>147203</v>
      </c>
      <c r="C415" s="2" t="s">
        <v>917</v>
      </c>
      <c r="D415" s="2">
        <v>554908105827</v>
      </c>
      <c r="E415" s="2" t="s">
        <v>28</v>
      </c>
      <c r="F415" s="2" t="s">
        <v>192</v>
      </c>
      <c r="G415" s="2" t="s">
        <v>193</v>
      </c>
      <c r="H415" s="2" t="s">
        <v>70</v>
      </c>
      <c r="I415" s="2" t="s">
        <v>53</v>
      </c>
      <c r="J415" s="2">
        <v>98802.85</v>
      </c>
      <c r="K415" s="2" t="s">
        <v>23</v>
      </c>
      <c r="L415" s="3">
        <v>45401</v>
      </c>
      <c r="M415" s="2" t="s">
        <v>24</v>
      </c>
      <c r="N415" s="2">
        <v>2006752.03</v>
      </c>
      <c r="O415" s="2" t="s">
        <v>25</v>
      </c>
      <c r="P415" s="5" t="str">
        <f t="shared" si="30"/>
        <v>2024-04</v>
      </c>
      <c r="Q415">
        <f t="shared" si="31"/>
        <v>98802.85</v>
      </c>
      <c r="R415">
        <f t="shared" si="32"/>
        <v>0</v>
      </c>
      <c r="S415" t="str">
        <f t="shared" si="33"/>
        <v>Digital</v>
      </c>
      <c r="T415" t="str">
        <f t="shared" si="34"/>
        <v>One-Time User</v>
      </c>
    </row>
    <row r="416" spans="1:20" ht="15.75" customHeight="1" x14ac:dyDescent="0.3">
      <c r="A416" s="2" t="s">
        <v>918</v>
      </c>
      <c r="B416" s="2">
        <v>780768</v>
      </c>
      <c r="C416" s="2" t="s">
        <v>919</v>
      </c>
      <c r="D416" s="2">
        <v>815919059377</v>
      </c>
      <c r="E416" s="2" t="s">
        <v>91</v>
      </c>
      <c r="F416" s="2" t="s">
        <v>109</v>
      </c>
      <c r="G416" s="2" t="s">
        <v>110</v>
      </c>
      <c r="H416" s="2" t="s">
        <v>21</v>
      </c>
      <c r="I416" s="2" t="s">
        <v>53</v>
      </c>
      <c r="J416" s="2">
        <v>28863.24</v>
      </c>
      <c r="K416" s="2" t="s">
        <v>32</v>
      </c>
      <c r="L416" s="3">
        <v>45165</v>
      </c>
      <c r="M416" s="2" t="s">
        <v>24</v>
      </c>
      <c r="N416" s="2">
        <v>1761796.83</v>
      </c>
      <c r="O416" s="2" t="s">
        <v>25</v>
      </c>
      <c r="P416" s="5" t="str">
        <f t="shared" si="30"/>
        <v>2023-08</v>
      </c>
      <c r="Q416">
        <f t="shared" si="31"/>
        <v>28863.24</v>
      </c>
      <c r="R416">
        <f t="shared" si="32"/>
        <v>0</v>
      </c>
      <c r="S416" t="str">
        <f t="shared" si="33"/>
        <v>Cash-Based</v>
      </c>
      <c r="T416" t="str">
        <f t="shared" si="34"/>
        <v>One-Time User</v>
      </c>
    </row>
    <row r="417" spans="1:20" ht="15.75" customHeight="1" x14ac:dyDescent="0.3">
      <c r="A417" s="2" t="s">
        <v>920</v>
      </c>
      <c r="B417" s="2">
        <v>904317</v>
      </c>
      <c r="C417" s="2" t="s">
        <v>921</v>
      </c>
      <c r="D417" s="2">
        <v>634833077589</v>
      </c>
      <c r="E417" s="2" t="s">
        <v>91</v>
      </c>
      <c r="F417" s="2" t="s">
        <v>130</v>
      </c>
      <c r="G417" s="2" t="s">
        <v>131</v>
      </c>
      <c r="H417" s="2" t="s">
        <v>67</v>
      </c>
      <c r="I417" s="2" t="s">
        <v>38</v>
      </c>
      <c r="J417" s="2">
        <v>75640.210000000006</v>
      </c>
      <c r="K417" s="2" t="s">
        <v>32</v>
      </c>
      <c r="L417" s="3">
        <v>45489</v>
      </c>
      <c r="M417" s="2" t="s">
        <v>24</v>
      </c>
      <c r="N417" s="2">
        <v>1696282.05</v>
      </c>
      <c r="O417" s="2" t="s">
        <v>25</v>
      </c>
      <c r="P417" s="5" t="str">
        <f t="shared" si="30"/>
        <v>2024-07</v>
      </c>
      <c r="Q417">
        <f t="shared" si="31"/>
        <v>-75640.210000000006</v>
      </c>
      <c r="R417">
        <f t="shared" si="32"/>
        <v>0</v>
      </c>
      <c r="S417" t="str">
        <f t="shared" si="33"/>
        <v>Cash-Based</v>
      </c>
      <c r="T417" t="str">
        <f t="shared" si="34"/>
        <v>One-Time User</v>
      </c>
    </row>
    <row r="418" spans="1:20" ht="15.75" customHeight="1" x14ac:dyDescent="0.3">
      <c r="A418" s="2" t="s">
        <v>922</v>
      </c>
      <c r="B418" s="2">
        <v>994371</v>
      </c>
      <c r="C418" s="2" t="s">
        <v>923</v>
      </c>
      <c r="D418" s="2">
        <v>681386364839</v>
      </c>
      <c r="E418" s="2" t="s">
        <v>28</v>
      </c>
      <c r="F418" s="2" t="s">
        <v>150</v>
      </c>
      <c r="G418" s="2" t="s">
        <v>151</v>
      </c>
      <c r="H418" s="2" t="s">
        <v>70</v>
      </c>
      <c r="I418" s="2" t="s">
        <v>53</v>
      </c>
      <c r="J418" s="2">
        <v>25989.27</v>
      </c>
      <c r="K418" s="2" t="s">
        <v>49</v>
      </c>
      <c r="L418" s="3">
        <v>45727</v>
      </c>
      <c r="M418" s="2" t="s">
        <v>24</v>
      </c>
      <c r="N418" s="2">
        <v>1869459.68</v>
      </c>
      <c r="O418" s="2" t="s">
        <v>25</v>
      </c>
      <c r="P418" s="5" t="str">
        <f t="shared" si="30"/>
        <v>2025-03</v>
      </c>
      <c r="Q418">
        <f t="shared" si="31"/>
        <v>25989.27</v>
      </c>
      <c r="R418">
        <f t="shared" si="32"/>
        <v>0</v>
      </c>
      <c r="S418" t="str">
        <f t="shared" si="33"/>
        <v>Cash-Based</v>
      </c>
      <c r="T418" t="str">
        <f t="shared" si="34"/>
        <v>One-Time User</v>
      </c>
    </row>
    <row r="419" spans="1:20" ht="15.75" customHeight="1" x14ac:dyDescent="0.3">
      <c r="A419" s="2" t="s">
        <v>924</v>
      </c>
      <c r="B419" s="2">
        <v>544541</v>
      </c>
      <c r="C419" s="2" t="s">
        <v>925</v>
      </c>
      <c r="D419" s="2">
        <v>339699282348</v>
      </c>
      <c r="E419" s="2" t="s">
        <v>91</v>
      </c>
      <c r="F419" s="2" t="s">
        <v>109</v>
      </c>
      <c r="G419" s="2" t="s">
        <v>110</v>
      </c>
      <c r="H419" s="2" t="s">
        <v>31</v>
      </c>
      <c r="I419" s="2" t="s">
        <v>22</v>
      </c>
      <c r="J419" s="2">
        <v>306077.19</v>
      </c>
      <c r="K419" s="2" t="s">
        <v>49</v>
      </c>
      <c r="L419" s="3">
        <v>45383</v>
      </c>
      <c r="M419" s="2" t="s">
        <v>24</v>
      </c>
      <c r="N419" s="2">
        <v>445276.17</v>
      </c>
      <c r="O419" s="2" t="s">
        <v>25</v>
      </c>
      <c r="P419" s="5" t="str">
        <f t="shared" si="30"/>
        <v>2024-04</v>
      </c>
      <c r="Q419">
        <f t="shared" si="31"/>
        <v>306077.19</v>
      </c>
      <c r="R419">
        <f t="shared" si="32"/>
        <v>0</v>
      </c>
      <c r="S419" t="str">
        <f t="shared" si="33"/>
        <v>Cash-Based</v>
      </c>
      <c r="T419" t="str">
        <f t="shared" si="34"/>
        <v>One-Time User</v>
      </c>
    </row>
    <row r="420" spans="1:20" ht="15.75" customHeight="1" x14ac:dyDescent="0.3">
      <c r="A420" s="2" t="s">
        <v>926</v>
      </c>
      <c r="B420" s="2">
        <v>814098</v>
      </c>
      <c r="C420" s="2" t="s">
        <v>927</v>
      </c>
      <c r="D420" s="2">
        <v>634498445905</v>
      </c>
      <c r="E420" s="2" t="s">
        <v>28</v>
      </c>
      <c r="F420" s="2" t="s">
        <v>216</v>
      </c>
      <c r="G420" s="2" t="s">
        <v>217</v>
      </c>
      <c r="H420" s="2" t="s">
        <v>21</v>
      </c>
      <c r="I420" s="2" t="s">
        <v>48</v>
      </c>
      <c r="J420" s="2">
        <v>278744.09999999998</v>
      </c>
      <c r="K420" s="2" t="s">
        <v>32</v>
      </c>
      <c r="L420" s="3">
        <v>45373</v>
      </c>
      <c r="M420" s="2" t="s">
        <v>24</v>
      </c>
      <c r="N420" s="2">
        <v>946157.45</v>
      </c>
      <c r="O420" s="2" t="s">
        <v>25</v>
      </c>
      <c r="P420" s="5" t="str">
        <f t="shared" si="30"/>
        <v>2024-03</v>
      </c>
      <c r="Q420">
        <f t="shared" si="31"/>
        <v>278744.09999999998</v>
      </c>
      <c r="R420">
        <f t="shared" si="32"/>
        <v>0</v>
      </c>
      <c r="S420" t="str">
        <f t="shared" si="33"/>
        <v>Cash-Based</v>
      </c>
      <c r="T420" t="str">
        <f t="shared" si="34"/>
        <v>One-Time User</v>
      </c>
    </row>
    <row r="421" spans="1:20" ht="15.75" customHeight="1" x14ac:dyDescent="0.3">
      <c r="A421" s="2" t="s">
        <v>928</v>
      </c>
      <c r="B421" s="2">
        <v>362469</v>
      </c>
      <c r="C421" s="2" t="s">
        <v>929</v>
      </c>
      <c r="D421" s="2">
        <v>574613910418</v>
      </c>
      <c r="E421" s="2" t="s">
        <v>18</v>
      </c>
      <c r="F421" s="2" t="s">
        <v>46</v>
      </c>
      <c r="G421" s="2" t="s">
        <v>47</v>
      </c>
      <c r="H421" s="2" t="s">
        <v>67</v>
      </c>
      <c r="I421" s="2" t="s">
        <v>38</v>
      </c>
      <c r="J421" s="2">
        <v>19889.240000000002</v>
      </c>
      <c r="K421" s="2" t="s">
        <v>23</v>
      </c>
      <c r="L421" s="3">
        <v>45759</v>
      </c>
      <c r="M421" s="2" t="s">
        <v>24</v>
      </c>
      <c r="N421" s="2">
        <v>536984.80000000005</v>
      </c>
      <c r="O421" s="2" t="s">
        <v>25</v>
      </c>
      <c r="P421" s="5" t="str">
        <f t="shared" si="30"/>
        <v>2025-04</v>
      </c>
      <c r="Q421">
        <f t="shared" si="31"/>
        <v>-19889.240000000002</v>
      </c>
      <c r="R421">
        <f t="shared" si="32"/>
        <v>0</v>
      </c>
      <c r="S421" t="str">
        <f t="shared" si="33"/>
        <v>Digital</v>
      </c>
      <c r="T421" t="str">
        <f t="shared" si="34"/>
        <v>One-Time User</v>
      </c>
    </row>
    <row r="422" spans="1:20" ht="15.75" customHeight="1" x14ac:dyDescent="0.3">
      <c r="A422" s="2" t="s">
        <v>930</v>
      </c>
      <c r="B422" s="2">
        <v>156651</v>
      </c>
      <c r="C422" s="2" t="s">
        <v>931</v>
      </c>
      <c r="D422" s="2">
        <v>712831351149</v>
      </c>
      <c r="E422" s="2" t="s">
        <v>64</v>
      </c>
      <c r="F422" s="2" t="s">
        <v>83</v>
      </c>
      <c r="G422" s="2" t="s">
        <v>84</v>
      </c>
      <c r="H422" s="2" t="s">
        <v>31</v>
      </c>
      <c r="I422" s="2" t="s">
        <v>48</v>
      </c>
      <c r="J422" s="2">
        <v>211790.53</v>
      </c>
      <c r="K422" s="2" t="s">
        <v>98</v>
      </c>
      <c r="L422" s="3">
        <v>45205</v>
      </c>
      <c r="M422" s="2" t="s">
        <v>24</v>
      </c>
      <c r="N422" s="2">
        <v>2062458.03</v>
      </c>
      <c r="O422" s="2" t="s">
        <v>25</v>
      </c>
      <c r="P422" s="5" t="str">
        <f t="shared" si="30"/>
        <v>2023-10</v>
      </c>
      <c r="Q422">
        <f t="shared" si="31"/>
        <v>211790.53</v>
      </c>
      <c r="R422">
        <f t="shared" si="32"/>
        <v>0</v>
      </c>
      <c r="S422" t="str">
        <f t="shared" si="33"/>
        <v>Cash-Based</v>
      </c>
      <c r="T422" t="str">
        <f t="shared" si="34"/>
        <v>One-Time User</v>
      </c>
    </row>
    <row r="423" spans="1:20" ht="15.75" customHeight="1" x14ac:dyDescent="0.3">
      <c r="A423" s="2" t="s">
        <v>932</v>
      </c>
      <c r="B423" s="2">
        <v>223991</v>
      </c>
      <c r="C423" s="2" t="s">
        <v>933</v>
      </c>
      <c r="D423" s="2">
        <v>925585552693</v>
      </c>
      <c r="E423" s="2" t="s">
        <v>18</v>
      </c>
      <c r="F423" s="2" t="s">
        <v>56</v>
      </c>
      <c r="G423" s="2" t="s">
        <v>57</v>
      </c>
      <c r="H423" s="2" t="s">
        <v>21</v>
      </c>
      <c r="I423" s="2" t="s">
        <v>22</v>
      </c>
      <c r="J423" s="2">
        <v>419123.96</v>
      </c>
      <c r="K423" s="2" t="s">
        <v>98</v>
      </c>
      <c r="L423" s="3">
        <v>45753</v>
      </c>
      <c r="M423" s="2" t="s">
        <v>24</v>
      </c>
      <c r="N423" s="2">
        <v>718722.06</v>
      </c>
      <c r="O423" s="2" t="s">
        <v>25</v>
      </c>
      <c r="P423" s="5" t="str">
        <f t="shared" si="30"/>
        <v>2025-04</v>
      </c>
      <c r="Q423">
        <f t="shared" si="31"/>
        <v>419123.96</v>
      </c>
      <c r="R423">
        <f t="shared" si="32"/>
        <v>0</v>
      </c>
      <c r="S423" t="str">
        <f t="shared" si="33"/>
        <v>Cash-Based</v>
      </c>
      <c r="T423" t="str">
        <f t="shared" si="34"/>
        <v>One-Time User</v>
      </c>
    </row>
    <row r="424" spans="1:20" ht="15.75" customHeight="1" x14ac:dyDescent="0.3">
      <c r="A424" s="2" t="s">
        <v>934</v>
      </c>
      <c r="B424" s="2">
        <v>381958</v>
      </c>
      <c r="C424" s="2" t="s">
        <v>935</v>
      </c>
      <c r="D424" s="2">
        <v>503095894291</v>
      </c>
      <c r="E424" s="2" t="s">
        <v>64</v>
      </c>
      <c r="F424" s="2" t="s">
        <v>83</v>
      </c>
      <c r="G424" s="2" t="s">
        <v>84</v>
      </c>
      <c r="H424" s="2" t="s">
        <v>31</v>
      </c>
      <c r="I424" s="2" t="s">
        <v>48</v>
      </c>
      <c r="J424" s="2">
        <v>221952.99</v>
      </c>
      <c r="K424" s="2" t="s">
        <v>49</v>
      </c>
      <c r="L424" s="3">
        <v>45489</v>
      </c>
      <c r="M424" s="2" t="s">
        <v>24</v>
      </c>
      <c r="N424" s="2">
        <v>830174.30999999994</v>
      </c>
      <c r="O424" s="2" t="s">
        <v>25</v>
      </c>
      <c r="P424" s="5" t="str">
        <f t="shared" si="30"/>
        <v>2024-07</v>
      </c>
      <c r="Q424">
        <f t="shared" si="31"/>
        <v>221952.99</v>
      </c>
      <c r="R424">
        <f t="shared" si="32"/>
        <v>0</v>
      </c>
      <c r="S424" t="str">
        <f t="shared" si="33"/>
        <v>Cash-Based</v>
      </c>
      <c r="T424" t="str">
        <f t="shared" si="34"/>
        <v>One-Time User</v>
      </c>
    </row>
    <row r="425" spans="1:20" ht="15.75" customHeight="1" x14ac:dyDescent="0.3">
      <c r="A425" s="2" t="s">
        <v>936</v>
      </c>
      <c r="B425" s="2">
        <v>888870</v>
      </c>
      <c r="C425" s="2" t="s">
        <v>937</v>
      </c>
      <c r="D425" s="2">
        <v>455614151118</v>
      </c>
      <c r="E425" s="2" t="s">
        <v>91</v>
      </c>
      <c r="F425" s="2" t="s">
        <v>109</v>
      </c>
      <c r="G425" s="2" t="s">
        <v>110</v>
      </c>
      <c r="H425" s="2" t="s">
        <v>70</v>
      </c>
      <c r="I425" s="2" t="s">
        <v>22</v>
      </c>
      <c r="J425" s="2">
        <v>174567.42</v>
      </c>
      <c r="K425" s="2" t="s">
        <v>49</v>
      </c>
      <c r="L425" s="3">
        <v>45528</v>
      </c>
      <c r="M425" s="2" t="s">
        <v>24</v>
      </c>
      <c r="N425" s="2">
        <v>1043689.06</v>
      </c>
      <c r="O425" s="2" t="s">
        <v>25</v>
      </c>
      <c r="P425" s="5" t="str">
        <f t="shared" si="30"/>
        <v>2024-08</v>
      </c>
      <c r="Q425">
        <f t="shared" si="31"/>
        <v>174567.42</v>
      </c>
      <c r="R425">
        <f t="shared" si="32"/>
        <v>0</v>
      </c>
      <c r="S425" t="str">
        <f t="shared" si="33"/>
        <v>Cash-Based</v>
      </c>
      <c r="T425" t="str">
        <f t="shared" si="34"/>
        <v>One-Time User</v>
      </c>
    </row>
    <row r="426" spans="1:20" ht="15.75" customHeight="1" x14ac:dyDescent="0.3">
      <c r="A426" s="2" t="s">
        <v>938</v>
      </c>
      <c r="B426" s="2">
        <v>194074</v>
      </c>
      <c r="C426" s="2" t="s">
        <v>939</v>
      </c>
      <c r="D426" s="2">
        <v>370100981708</v>
      </c>
      <c r="E426" s="2" t="s">
        <v>18</v>
      </c>
      <c r="F426" s="2" t="s">
        <v>56</v>
      </c>
      <c r="G426" s="2" t="s">
        <v>57</v>
      </c>
      <c r="H426" s="2" t="s">
        <v>31</v>
      </c>
      <c r="I426" s="2" t="s">
        <v>38</v>
      </c>
      <c r="J426" s="2">
        <v>34180.81</v>
      </c>
      <c r="K426" s="2" t="s">
        <v>98</v>
      </c>
      <c r="L426" s="3">
        <v>45229</v>
      </c>
      <c r="M426" s="2" t="s">
        <v>24</v>
      </c>
      <c r="N426" s="2">
        <v>821912.01</v>
      </c>
      <c r="O426" s="2" t="s">
        <v>25</v>
      </c>
      <c r="P426" s="5" t="str">
        <f t="shared" si="30"/>
        <v>2023-10</v>
      </c>
      <c r="Q426">
        <f t="shared" si="31"/>
        <v>-34180.81</v>
      </c>
      <c r="R426">
        <f t="shared" si="32"/>
        <v>0</v>
      </c>
      <c r="S426" t="str">
        <f t="shared" si="33"/>
        <v>Cash-Based</v>
      </c>
      <c r="T426" t="str">
        <f t="shared" si="34"/>
        <v>One-Time User</v>
      </c>
    </row>
    <row r="427" spans="1:20" ht="15.75" customHeight="1" x14ac:dyDescent="0.3">
      <c r="A427" s="2" t="s">
        <v>940</v>
      </c>
      <c r="B427" s="2">
        <v>870636</v>
      </c>
      <c r="C427" s="2" t="s">
        <v>941</v>
      </c>
      <c r="D427" s="2">
        <v>265725559669</v>
      </c>
      <c r="E427" s="2" t="s">
        <v>35</v>
      </c>
      <c r="F427" s="2" t="s">
        <v>42</v>
      </c>
      <c r="G427" s="2" t="s">
        <v>43</v>
      </c>
      <c r="H427" s="2" t="s">
        <v>70</v>
      </c>
      <c r="I427" s="2" t="s">
        <v>22</v>
      </c>
      <c r="J427" s="2">
        <v>204879.07</v>
      </c>
      <c r="K427" s="2" t="s">
        <v>98</v>
      </c>
      <c r="L427" s="3">
        <v>45340</v>
      </c>
      <c r="M427" s="2" t="s">
        <v>24</v>
      </c>
      <c r="N427" s="2">
        <v>1860252.84</v>
      </c>
      <c r="O427" s="2" t="s">
        <v>25</v>
      </c>
      <c r="P427" s="5" t="str">
        <f t="shared" si="30"/>
        <v>2024-02</v>
      </c>
      <c r="Q427">
        <f t="shared" si="31"/>
        <v>204879.07</v>
      </c>
      <c r="R427">
        <f t="shared" si="32"/>
        <v>0</v>
      </c>
      <c r="S427" t="str">
        <f t="shared" si="33"/>
        <v>Cash-Based</v>
      </c>
      <c r="T427" t="str">
        <f t="shared" si="34"/>
        <v>One-Time User</v>
      </c>
    </row>
    <row r="428" spans="1:20" ht="15.75" customHeight="1" x14ac:dyDescent="0.3">
      <c r="A428" s="2" t="s">
        <v>942</v>
      </c>
      <c r="B428" s="2">
        <v>417871</v>
      </c>
      <c r="C428" s="2" t="s">
        <v>943</v>
      </c>
      <c r="D428" s="2">
        <v>340570703401</v>
      </c>
      <c r="E428" s="2" t="s">
        <v>18</v>
      </c>
      <c r="F428" s="2" t="s">
        <v>156</v>
      </c>
      <c r="G428" s="2" t="s">
        <v>157</v>
      </c>
      <c r="H428" s="2" t="s">
        <v>67</v>
      </c>
      <c r="I428" s="2" t="s">
        <v>53</v>
      </c>
      <c r="J428" s="2">
        <v>126048.15</v>
      </c>
      <c r="K428" s="2" t="s">
        <v>32</v>
      </c>
      <c r="L428" s="3">
        <v>45278</v>
      </c>
      <c r="M428" s="2" t="s">
        <v>24</v>
      </c>
      <c r="N428" s="2">
        <v>305126.23</v>
      </c>
      <c r="O428" s="2" t="s">
        <v>25</v>
      </c>
      <c r="P428" s="5" t="str">
        <f t="shared" si="30"/>
        <v>2023-12</v>
      </c>
      <c r="Q428">
        <f t="shared" si="31"/>
        <v>126048.15</v>
      </c>
      <c r="R428">
        <f t="shared" si="32"/>
        <v>0</v>
      </c>
      <c r="S428" t="str">
        <f t="shared" si="33"/>
        <v>Cash-Based</v>
      </c>
      <c r="T428" t="str">
        <f t="shared" si="34"/>
        <v>One-Time User</v>
      </c>
    </row>
    <row r="429" spans="1:20" ht="15.75" customHeight="1" x14ac:dyDescent="0.3">
      <c r="A429" s="2" t="s">
        <v>944</v>
      </c>
      <c r="B429" s="2">
        <v>514407</v>
      </c>
      <c r="C429" s="2" t="s">
        <v>945</v>
      </c>
      <c r="D429" s="2">
        <v>675036663044</v>
      </c>
      <c r="E429" s="2" t="s">
        <v>91</v>
      </c>
      <c r="F429" s="2" t="s">
        <v>130</v>
      </c>
      <c r="G429" s="2" t="s">
        <v>131</v>
      </c>
      <c r="H429" s="2" t="s">
        <v>70</v>
      </c>
      <c r="I429" s="2" t="s">
        <v>48</v>
      </c>
      <c r="J429" s="2">
        <v>94591.93</v>
      </c>
      <c r="K429" s="2" t="s">
        <v>39</v>
      </c>
      <c r="L429" s="3">
        <v>45496</v>
      </c>
      <c r="M429" s="2" t="s">
        <v>24</v>
      </c>
      <c r="N429" s="2">
        <v>1580999.81</v>
      </c>
      <c r="O429" s="2" t="s">
        <v>25</v>
      </c>
      <c r="P429" s="5" t="str">
        <f t="shared" si="30"/>
        <v>2024-07</v>
      </c>
      <c r="Q429">
        <f t="shared" si="31"/>
        <v>94591.93</v>
      </c>
      <c r="R429">
        <f t="shared" si="32"/>
        <v>0</v>
      </c>
      <c r="S429" t="str">
        <f t="shared" si="33"/>
        <v>Cash-Based</v>
      </c>
      <c r="T429" t="str">
        <f t="shared" si="34"/>
        <v>One-Time User</v>
      </c>
    </row>
    <row r="430" spans="1:20" ht="15.75" customHeight="1" x14ac:dyDescent="0.3">
      <c r="A430" s="2" t="s">
        <v>946</v>
      </c>
      <c r="B430" s="2">
        <v>356658</v>
      </c>
      <c r="C430" s="2" t="s">
        <v>947</v>
      </c>
      <c r="D430" s="2">
        <v>605418878157</v>
      </c>
      <c r="E430" s="2" t="s">
        <v>91</v>
      </c>
      <c r="F430" s="2" t="s">
        <v>105</v>
      </c>
      <c r="G430" s="2" t="s">
        <v>106</v>
      </c>
      <c r="H430" s="2" t="s">
        <v>70</v>
      </c>
      <c r="I430" s="2" t="s">
        <v>22</v>
      </c>
      <c r="J430" s="2">
        <v>40155.279999999999</v>
      </c>
      <c r="K430" s="2" t="s">
        <v>32</v>
      </c>
      <c r="L430" s="3">
        <v>45204</v>
      </c>
      <c r="M430" s="2" t="s">
        <v>24</v>
      </c>
      <c r="N430" s="2">
        <v>527727.55000000005</v>
      </c>
      <c r="O430" s="2" t="s">
        <v>25</v>
      </c>
      <c r="P430" s="5" t="str">
        <f t="shared" si="30"/>
        <v>2023-10</v>
      </c>
      <c r="Q430">
        <f t="shared" si="31"/>
        <v>40155.279999999999</v>
      </c>
      <c r="R430">
        <f t="shared" si="32"/>
        <v>0</v>
      </c>
      <c r="S430" t="str">
        <f t="shared" si="33"/>
        <v>Cash-Based</v>
      </c>
      <c r="T430" t="str">
        <f t="shared" si="34"/>
        <v>One-Time User</v>
      </c>
    </row>
    <row r="431" spans="1:20" ht="15.75" customHeight="1" x14ac:dyDescent="0.3">
      <c r="A431" s="2" t="s">
        <v>948</v>
      </c>
      <c r="B431" s="2">
        <v>256689</v>
      </c>
      <c r="C431" s="2" t="s">
        <v>949</v>
      </c>
      <c r="D431" s="2">
        <v>597626604290</v>
      </c>
      <c r="E431" s="2" t="s">
        <v>18</v>
      </c>
      <c r="F431" s="2" t="s">
        <v>87</v>
      </c>
      <c r="G431" s="2" t="s">
        <v>88</v>
      </c>
      <c r="H431" s="2" t="s">
        <v>67</v>
      </c>
      <c r="I431" s="2" t="s">
        <v>22</v>
      </c>
      <c r="J431" s="2">
        <v>269846.56</v>
      </c>
      <c r="K431" s="2" t="s">
        <v>32</v>
      </c>
      <c r="L431" s="3">
        <v>45168</v>
      </c>
      <c r="M431" s="2" t="s">
        <v>24</v>
      </c>
      <c r="N431" s="2">
        <v>1057833.83</v>
      </c>
      <c r="O431" s="2" t="s">
        <v>25</v>
      </c>
      <c r="P431" s="5" t="str">
        <f t="shared" si="30"/>
        <v>2023-08</v>
      </c>
      <c r="Q431">
        <f t="shared" si="31"/>
        <v>269846.56</v>
      </c>
      <c r="R431">
        <f t="shared" si="32"/>
        <v>0</v>
      </c>
      <c r="S431" t="str">
        <f t="shared" si="33"/>
        <v>Cash-Based</v>
      </c>
      <c r="T431" t="str">
        <f t="shared" si="34"/>
        <v>One-Time User</v>
      </c>
    </row>
    <row r="432" spans="1:20" ht="15.75" customHeight="1" x14ac:dyDescent="0.3">
      <c r="A432" s="2" t="s">
        <v>950</v>
      </c>
      <c r="B432" s="2">
        <v>172968</v>
      </c>
      <c r="C432" s="2" t="s">
        <v>951</v>
      </c>
      <c r="D432" s="2">
        <v>223152974785</v>
      </c>
      <c r="E432" s="2" t="s">
        <v>91</v>
      </c>
      <c r="F432" s="2" t="s">
        <v>92</v>
      </c>
      <c r="G432" s="2" t="s">
        <v>93</v>
      </c>
      <c r="H432" s="2" t="s">
        <v>31</v>
      </c>
      <c r="I432" s="2" t="s">
        <v>48</v>
      </c>
      <c r="J432" s="2">
        <v>6453.41</v>
      </c>
      <c r="K432" s="2" t="s">
        <v>98</v>
      </c>
      <c r="L432" s="3">
        <v>45549</v>
      </c>
      <c r="M432" s="2" t="s">
        <v>24</v>
      </c>
      <c r="N432" s="2">
        <v>1260667.3500000001</v>
      </c>
      <c r="O432" s="2" t="s">
        <v>25</v>
      </c>
      <c r="P432" s="5" t="str">
        <f t="shared" si="30"/>
        <v>2024-09</v>
      </c>
      <c r="Q432">
        <f t="shared" si="31"/>
        <v>6453.41</v>
      </c>
      <c r="R432">
        <f t="shared" si="32"/>
        <v>0</v>
      </c>
      <c r="S432" t="str">
        <f t="shared" si="33"/>
        <v>Cash-Based</v>
      </c>
      <c r="T432" t="str">
        <f t="shared" si="34"/>
        <v>One-Time User</v>
      </c>
    </row>
    <row r="433" spans="1:20" ht="15.75" customHeight="1" x14ac:dyDescent="0.3">
      <c r="A433" s="2" t="s">
        <v>952</v>
      </c>
      <c r="B433" s="2">
        <v>473572</v>
      </c>
      <c r="C433" s="2" t="s">
        <v>953</v>
      </c>
      <c r="D433" s="2">
        <v>862059035512</v>
      </c>
      <c r="E433" s="2" t="s">
        <v>35</v>
      </c>
      <c r="F433" s="2" t="s">
        <v>60</v>
      </c>
      <c r="G433" s="2" t="s">
        <v>61</v>
      </c>
      <c r="H433" s="2" t="s">
        <v>67</v>
      </c>
      <c r="I433" s="2" t="s">
        <v>22</v>
      </c>
      <c r="J433" s="2">
        <v>378135.91</v>
      </c>
      <c r="K433" s="2" t="s">
        <v>39</v>
      </c>
      <c r="L433" s="3">
        <v>45630</v>
      </c>
      <c r="M433" s="2" t="s">
        <v>24</v>
      </c>
      <c r="N433" s="2">
        <v>460516.67</v>
      </c>
      <c r="O433" s="2" t="s">
        <v>25</v>
      </c>
      <c r="P433" s="5" t="str">
        <f t="shared" si="30"/>
        <v>2024-12</v>
      </c>
      <c r="Q433">
        <f t="shared" si="31"/>
        <v>378135.91</v>
      </c>
      <c r="R433">
        <f t="shared" si="32"/>
        <v>0</v>
      </c>
      <c r="S433" t="str">
        <f t="shared" si="33"/>
        <v>Cash-Based</v>
      </c>
      <c r="T433" t="str">
        <f t="shared" si="34"/>
        <v>One-Time User</v>
      </c>
    </row>
    <row r="434" spans="1:20" ht="15.75" customHeight="1" x14ac:dyDescent="0.3">
      <c r="A434" s="2" t="s">
        <v>954</v>
      </c>
      <c r="B434" s="2">
        <v>727196</v>
      </c>
      <c r="C434" s="2" t="s">
        <v>955</v>
      </c>
      <c r="D434" s="2">
        <v>213803806556</v>
      </c>
      <c r="E434" s="2" t="s">
        <v>18</v>
      </c>
      <c r="F434" s="2" t="s">
        <v>156</v>
      </c>
      <c r="G434" s="2" t="s">
        <v>157</v>
      </c>
      <c r="H434" s="2" t="s">
        <v>21</v>
      </c>
      <c r="I434" s="2" t="s">
        <v>48</v>
      </c>
      <c r="J434" s="2">
        <v>162015.07</v>
      </c>
      <c r="K434" s="2" t="s">
        <v>39</v>
      </c>
      <c r="L434" s="3">
        <v>45289</v>
      </c>
      <c r="M434" s="2" t="s">
        <v>113</v>
      </c>
      <c r="N434" s="2">
        <v>2062704.01</v>
      </c>
      <c r="O434" s="2" t="s">
        <v>25</v>
      </c>
      <c r="P434" s="5" t="str">
        <f t="shared" si="30"/>
        <v>2023-12</v>
      </c>
      <c r="Q434">
        <f t="shared" si="31"/>
        <v>162015.07</v>
      </c>
      <c r="R434">
        <f t="shared" si="32"/>
        <v>0</v>
      </c>
      <c r="S434" t="str">
        <f t="shared" si="33"/>
        <v>Cash-Based</v>
      </c>
      <c r="T434" t="str">
        <f t="shared" si="34"/>
        <v>One-Time User</v>
      </c>
    </row>
    <row r="435" spans="1:20" ht="15.75" customHeight="1" x14ac:dyDescent="0.3">
      <c r="A435" s="2" t="s">
        <v>956</v>
      </c>
      <c r="B435" s="2">
        <v>310437</v>
      </c>
      <c r="C435" s="2" t="s">
        <v>957</v>
      </c>
      <c r="D435" s="2">
        <v>619311161355</v>
      </c>
      <c r="E435" s="2" t="s">
        <v>28</v>
      </c>
      <c r="F435" s="2" t="s">
        <v>192</v>
      </c>
      <c r="G435" s="2" t="s">
        <v>193</v>
      </c>
      <c r="H435" s="2" t="s">
        <v>21</v>
      </c>
      <c r="I435" s="2" t="s">
        <v>48</v>
      </c>
      <c r="J435" s="2">
        <v>86822.48</v>
      </c>
      <c r="K435" s="2" t="s">
        <v>32</v>
      </c>
      <c r="L435" s="3">
        <v>45711</v>
      </c>
      <c r="M435" s="2" t="s">
        <v>24</v>
      </c>
      <c r="N435" s="2">
        <v>1212113.4099999999</v>
      </c>
      <c r="O435" s="2" t="s">
        <v>25</v>
      </c>
      <c r="P435" s="5" t="str">
        <f t="shared" si="30"/>
        <v>2025-02</v>
      </c>
      <c r="Q435">
        <f t="shared" si="31"/>
        <v>86822.48</v>
      </c>
      <c r="R435">
        <f t="shared" si="32"/>
        <v>0</v>
      </c>
      <c r="S435" t="str">
        <f t="shared" si="33"/>
        <v>Cash-Based</v>
      </c>
      <c r="T435" t="str">
        <f t="shared" si="34"/>
        <v>One-Time User</v>
      </c>
    </row>
    <row r="436" spans="1:20" ht="15.75" customHeight="1" x14ac:dyDescent="0.3">
      <c r="A436" s="2" t="s">
        <v>958</v>
      </c>
      <c r="B436" s="2">
        <v>446826</v>
      </c>
      <c r="C436" s="2" t="s">
        <v>959</v>
      </c>
      <c r="D436" s="2">
        <v>369238077065</v>
      </c>
      <c r="E436" s="2" t="s">
        <v>18</v>
      </c>
      <c r="F436" s="2" t="s">
        <v>156</v>
      </c>
      <c r="G436" s="2" t="s">
        <v>157</v>
      </c>
      <c r="H436" s="2" t="s">
        <v>31</v>
      </c>
      <c r="I436" s="2" t="s">
        <v>38</v>
      </c>
      <c r="J436" s="2">
        <v>27058.35</v>
      </c>
      <c r="K436" s="2" t="s">
        <v>98</v>
      </c>
      <c r="L436" s="3">
        <v>45345</v>
      </c>
      <c r="M436" s="2" t="s">
        <v>24</v>
      </c>
      <c r="N436" s="2">
        <v>233863.72</v>
      </c>
      <c r="O436" s="2" t="s">
        <v>25</v>
      </c>
      <c r="P436" s="5" t="str">
        <f t="shared" si="30"/>
        <v>2024-02</v>
      </c>
      <c r="Q436">
        <f t="shared" si="31"/>
        <v>-27058.35</v>
      </c>
      <c r="R436">
        <f t="shared" si="32"/>
        <v>0</v>
      </c>
      <c r="S436" t="str">
        <f t="shared" si="33"/>
        <v>Cash-Based</v>
      </c>
      <c r="T436" t="str">
        <f t="shared" si="34"/>
        <v>One-Time User</v>
      </c>
    </row>
    <row r="437" spans="1:20" ht="15.75" customHeight="1" x14ac:dyDescent="0.3">
      <c r="A437" s="2" t="s">
        <v>960</v>
      </c>
      <c r="B437" s="2">
        <v>330179</v>
      </c>
      <c r="C437" s="2" t="s">
        <v>961</v>
      </c>
      <c r="D437" s="2">
        <v>507751770849</v>
      </c>
      <c r="E437" s="2" t="s">
        <v>35</v>
      </c>
      <c r="F437" s="2" t="s">
        <v>60</v>
      </c>
      <c r="G437" s="2" t="s">
        <v>61</v>
      </c>
      <c r="H437" s="2" t="s">
        <v>70</v>
      </c>
      <c r="I437" s="2" t="s">
        <v>38</v>
      </c>
      <c r="J437" s="2">
        <v>86561.53</v>
      </c>
      <c r="K437" s="2" t="s">
        <v>32</v>
      </c>
      <c r="L437" s="3">
        <v>45279</v>
      </c>
      <c r="M437" s="2" t="s">
        <v>24</v>
      </c>
      <c r="N437" s="2">
        <v>1697759.69</v>
      </c>
      <c r="O437" s="2" t="s">
        <v>25</v>
      </c>
      <c r="P437" s="5" t="str">
        <f t="shared" si="30"/>
        <v>2023-12</v>
      </c>
      <c r="Q437">
        <f t="shared" si="31"/>
        <v>-86561.53</v>
      </c>
      <c r="R437">
        <f t="shared" si="32"/>
        <v>0</v>
      </c>
      <c r="S437" t="str">
        <f t="shared" si="33"/>
        <v>Cash-Based</v>
      </c>
      <c r="T437" t="str">
        <f t="shared" si="34"/>
        <v>One-Time User</v>
      </c>
    </row>
    <row r="438" spans="1:20" ht="15.75" customHeight="1" x14ac:dyDescent="0.3">
      <c r="A438" s="2" t="s">
        <v>962</v>
      </c>
      <c r="B438" s="2">
        <v>129665</v>
      </c>
      <c r="C438" s="2" t="s">
        <v>963</v>
      </c>
      <c r="D438" s="2">
        <v>685732683411</v>
      </c>
      <c r="E438" s="2" t="s">
        <v>91</v>
      </c>
      <c r="F438" s="2" t="s">
        <v>109</v>
      </c>
      <c r="G438" s="2" t="s">
        <v>110</v>
      </c>
      <c r="H438" s="2" t="s">
        <v>70</v>
      </c>
      <c r="I438" s="2" t="s">
        <v>38</v>
      </c>
      <c r="J438" s="2">
        <v>110972.64</v>
      </c>
      <c r="K438" s="2" t="s">
        <v>49</v>
      </c>
      <c r="L438" s="3">
        <v>45259</v>
      </c>
      <c r="M438" s="2" t="s">
        <v>24</v>
      </c>
      <c r="N438" s="2">
        <v>1801082.85</v>
      </c>
      <c r="O438" s="2" t="s">
        <v>25</v>
      </c>
      <c r="P438" s="5" t="str">
        <f t="shared" si="30"/>
        <v>2023-11</v>
      </c>
      <c r="Q438">
        <f t="shared" si="31"/>
        <v>-110972.64</v>
      </c>
      <c r="R438">
        <f t="shared" si="32"/>
        <v>0</v>
      </c>
      <c r="S438" t="str">
        <f t="shared" si="33"/>
        <v>Cash-Based</v>
      </c>
      <c r="T438" t="str">
        <f t="shared" si="34"/>
        <v>One-Time User</v>
      </c>
    </row>
    <row r="439" spans="1:20" ht="15.75" customHeight="1" x14ac:dyDescent="0.3">
      <c r="A439" s="2" t="s">
        <v>964</v>
      </c>
      <c r="B439" s="2">
        <v>366999</v>
      </c>
      <c r="C439" s="2" t="s">
        <v>965</v>
      </c>
      <c r="D439" s="2">
        <v>105097624705</v>
      </c>
      <c r="E439" s="2" t="s">
        <v>18</v>
      </c>
      <c r="F439" s="2" t="s">
        <v>156</v>
      </c>
      <c r="G439" s="2" t="s">
        <v>157</v>
      </c>
      <c r="H439" s="2" t="s">
        <v>31</v>
      </c>
      <c r="I439" s="2" t="s">
        <v>48</v>
      </c>
      <c r="J439" s="2">
        <v>6574.26</v>
      </c>
      <c r="K439" s="2" t="s">
        <v>98</v>
      </c>
      <c r="L439" s="3">
        <v>45559</v>
      </c>
      <c r="M439" s="2" t="s">
        <v>24</v>
      </c>
      <c r="N439" s="2">
        <v>592520.64</v>
      </c>
      <c r="O439" s="2" t="s">
        <v>25</v>
      </c>
      <c r="P439" s="5" t="str">
        <f t="shared" si="30"/>
        <v>2024-09</v>
      </c>
      <c r="Q439">
        <f t="shared" si="31"/>
        <v>6574.26</v>
      </c>
      <c r="R439">
        <f t="shared" si="32"/>
        <v>0</v>
      </c>
      <c r="S439" t="str">
        <f t="shared" si="33"/>
        <v>Cash-Based</v>
      </c>
      <c r="T439" t="str">
        <f t="shared" si="34"/>
        <v>One-Time User</v>
      </c>
    </row>
    <row r="440" spans="1:20" ht="15.75" customHeight="1" x14ac:dyDescent="0.3">
      <c r="A440" s="2" t="s">
        <v>966</v>
      </c>
      <c r="B440" s="2">
        <v>552388</v>
      </c>
      <c r="C440" s="2" t="s">
        <v>967</v>
      </c>
      <c r="D440" s="2">
        <v>453842146842</v>
      </c>
      <c r="E440" s="2" t="s">
        <v>18</v>
      </c>
      <c r="F440" s="2" t="s">
        <v>19</v>
      </c>
      <c r="G440" s="2" t="s">
        <v>20</v>
      </c>
      <c r="H440" s="2" t="s">
        <v>70</v>
      </c>
      <c r="I440" s="2" t="s">
        <v>53</v>
      </c>
      <c r="J440" s="2">
        <v>195381.64</v>
      </c>
      <c r="K440" s="2" t="s">
        <v>49</v>
      </c>
      <c r="L440" s="3">
        <v>45478</v>
      </c>
      <c r="M440" s="2" t="s">
        <v>24</v>
      </c>
      <c r="N440" s="2">
        <v>1149629.3799999999</v>
      </c>
      <c r="O440" s="2" t="s">
        <v>25</v>
      </c>
      <c r="P440" s="5" t="str">
        <f t="shared" si="30"/>
        <v>2024-07</v>
      </c>
      <c r="Q440">
        <f t="shared" si="31"/>
        <v>195381.64</v>
      </c>
      <c r="R440">
        <f t="shared" si="32"/>
        <v>0</v>
      </c>
      <c r="S440" t="str">
        <f t="shared" si="33"/>
        <v>Cash-Based</v>
      </c>
      <c r="T440" t="str">
        <f t="shared" si="34"/>
        <v>One-Time User</v>
      </c>
    </row>
    <row r="441" spans="1:20" ht="15.75" customHeight="1" x14ac:dyDescent="0.3">
      <c r="A441" s="2" t="s">
        <v>968</v>
      </c>
      <c r="B441" s="2">
        <v>523936</v>
      </c>
      <c r="C441" s="2" t="s">
        <v>969</v>
      </c>
      <c r="D441" s="2">
        <v>145261144154</v>
      </c>
      <c r="E441" s="2" t="s">
        <v>91</v>
      </c>
      <c r="F441" s="2" t="s">
        <v>92</v>
      </c>
      <c r="G441" s="2" t="s">
        <v>93</v>
      </c>
      <c r="H441" s="2" t="s">
        <v>70</v>
      </c>
      <c r="I441" s="2" t="s">
        <v>48</v>
      </c>
      <c r="J441" s="2">
        <v>34140.730000000003</v>
      </c>
      <c r="K441" s="2" t="s">
        <v>49</v>
      </c>
      <c r="L441" s="3">
        <v>45288</v>
      </c>
      <c r="M441" s="2" t="s">
        <v>168</v>
      </c>
      <c r="N441" s="2">
        <v>1510625.24</v>
      </c>
      <c r="O441" s="2" t="s">
        <v>25</v>
      </c>
      <c r="P441" s="5" t="str">
        <f t="shared" si="30"/>
        <v>2023-12</v>
      </c>
      <c r="Q441">
        <f t="shared" si="31"/>
        <v>34140.730000000003</v>
      </c>
      <c r="R441">
        <f t="shared" si="32"/>
        <v>0</v>
      </c>
      <c r="S441" t="str">
        <f t="shared" si="33"/>
        <v>Cash-Based</v>
      </c>
      <c r="T441" t="str">
        <f t="shared" si="34"/>
        <v>One-Time User</v>
      </c>
    </row>
    <row r="442" spans="1:20" ht="15.75" customHeight="1" x14ac:dyDescent="0.3">
      <c r="A442" s="2" t="s">
        <v>970</v>
      </c>
      <c r="B442" s="2">
        <v>454612</v>
      </c>
      <c r="C442" s="2" t="s">
        <v>971</v>
      </c>
      <c r="D442" s="2">
        <v>305188756174</v>
      </c>
      <c r="E442" s="2" t="s">
        <v>91</v>
      </c>
      <c r="F442" s="2" t="s">
        <v>162</v>
      </c>
      <c r="G442" s="2" t="s">
        <v>163</v>
      </c>
      <c r="H442" s="2" t="s">
        <v>21</v>
      </c>
      <c r="I442" s="2" t="s">
        <v>53</v>
      </c>
      <c r="J442" s="2">
        <v>413815.24</v>
      </c>
      <c r="K442" s="2" t="s">
        <v>98</v>
      </c>
      <c r="L442" s="3">
        <v>45403</v>
      </c>
      <c r="M442" s="2" t="s">
        <v>168</v>
      </c>
      <c r="N442" s="2">
        <v>1653549.79</v>
      </c>
      <c r="O442" s="2" t="s">
        <v>25</v>
      </c>
      <c r="P442" s="5" t="str">
        <f t="shared" si="30"/>
        <v>2024-04</v>
      </c>
      <c r="Q442">
        <f t="shared" si="31"/>
        <v>413815.24</v>
      </c>
      <c r="R442">
        <f t="shared" si="32"/>
        <v>0</v>
      </c>
      <c r="S442" t="str">
        <f t="shared" si="33"/>
        <v>Cash-Based</v>
      </c>
      <c r="T442" t="str">
        <f t="shared" si="34"/>
        <v>One-Time User</v>
      </c>
    </row>
    <row r="443" spans="1:20" ht="15.75" customHeight="1" x14ac:dyDescent="0.3">
      <c r="A443" s="2" t="s">
        <v>972</v>
      </c>
      <c r="B443" s="2">
        <v>222331</v>
      </c>
      <c r="C443" s="2" t="s">
        <v>973</v>
      </c>
      <c r="D443" s="2">
        <v>732483075544</v>
      </c>
      <c r="E443" s="2" t="s">
        <v>28</v>
      </c>
      <c r="F443" s="2" t="s">
        <v>79</v>
      </c>
      <c r="G443" s="2" t="s">
        <v>80</v>
      </c>
      <c r="H443" s="2" t="s">
        <v>67</v>
      </c>
      <c r="I443" s="2" t="s">
        <v>22</v>
      </c>
      <c r="J443" s="2">
        <v>498951.58</v>
      </c>
      <c r="K443" s="2" t="s">
        <v>39</v>
      </c>
      <c r="L443" s="3">
        <v>45304</v>
      </c>
      <c r="M443" s="2" t="s">
        <v>24</v>
      </c>
      <c r="N443" s="2">
        <v>1249983.6100000001</v>
      </c>
      <c r="O443" s="2" t="s">
        <v>25</v>
      </c>
      <c r="P443" s="5" t="str">
        <f t="shared" si="30"/>
        <v>2024-01</v>
      </c>
      <c r="Q443">
        <f t="shared" si="31"/>
        <v>498951.58</v>
      </c>
      <c r="R443">
        <f t="shared" si="32"/>
        <v>0</v>
      </c>
      <c r="S443" t="str">
        <f t="shared" si="33"/>
        <v>Cash-Based</v>
      </c>
      <c r="T443" t="str">
        <f t="shared" si="34"/>
        <v>One-Time User</v>
      </c>
    </row>
    <row r="444" spans="1:20" ht="15.75" customHeight="1" x14ac:dyDescent="0.3">
      <c r="A444" s="2" t="s">
        <v>974</v>
      </c>
      <c r="B444" s="2">
        <v>457761</v>
      </c>
      <c r="C444" s="2" t="s">
        <v>975</v>
      </c>
      <c r="D444" s="2">
        <v>630313159087</v>
      </c>
      <c r="E444" s="2" t="s">
        <v>35</v>
      </c>
      <c r="F444" s="2" t="s">
        <v>73</v>
      </c>
      <c r="G444" s="2" t="s">
        <v>74</v>
      </c>
      <c r="H444" s="2" t="s">
        <v>70</v>
      </c>
      <c r="I444" s="2" t="s">
        <v>22</v>
      </c>
      <c r="J444" s="2">
        <v>500321.81</v>
      </c>
      <c r="K444" s="2" t="s">
        <v>49</v>
      </c>
      <c r="L444" s="3">
        <v>45612</v>
      </c>
      <c r="M444" s="2" t="s">
        <v>24</v>
      </c>
      <c r="N444" s="2">
        <v>1182670.67</v>
      </c>
      <c r="O444" s="2" t="s">
        <v>25</v>
      </c>
      <c r="P444" s="5" t="str">
        <f t="shared" si="30"/>
        <v>2024-11</v>
      </c>
      <c r="Q444">
        <f t="shared" si="31"/>
        <v>500321.81</v>
      </c>
      <c r="R444">
        <f t="shared" si="32"/>
        <v>0</v>
      </c>
      <c r="S444" t="str">
        <f t="shared" si="33"/>
        <v>Cash-Based</v>
      </c>
      <c r="T444" t="str">
        <f t="shared" si="34"/>
        <v>One-Time User</v>
      </c>
    </row>
    <row r="445" spans="1:20" ht="15.75" customHeight="1" x14ac:dyDescent="0.3">
      <c r="A445" s="2" t="s">
        <v>976</v>
      </c>
      <c r="B445" s="2">
        <v>784041</v>
      </c>
      <c r="C445" s="2" t="s">
        <v>977</v>
      </c>
      <c r="D445" s="2">
        <v>233652635234</v>
      </c>
      <c r="E445" s="2" t="s">
        <v>64</v>
      </c>
      <c r="F445" s="2" t="s">
        <v>166</v>
      </c>
      <c r="G445" s="2" t="s">
        <v>167</v>
      </c>
      <c r="H445" s="2" t="s">
        <v>21</v>
      </c>
      <c r="I445" s="2" t="s">
        <v>48</v>
      </c>
      <c r="J445" s="2">
        <v>233950.21</v>
      </c>
      <c r="K445" s="2" t="s">
        <v>39</v>
      </c>
      <c r="L445" s="3">
        <v>45764</v>
      </c>
      <c r="M445" s="2" t="s">
        <v>24</v>
      </c>
      <c r="N445" s="2">
        <v>1262558.1000000001</v>
      </c>
      <c r="O445" s="2" t="s">
        <v>25</v>
      </c>
      <c r="P445" s="5" t="str">
        <f t="shared" si="30"/>
        <v>2025-04</v>
      </c>
      <c r="Q445">
        <f t="shared" si="31"/>
        <v>233950.21</v>
      </c>
      <c r="R445">
        <f t="shared" si="32"/>
        <v>0</v>
      </c>
      <c r="S445" t="str">
        <f t="shared" si="33"/>
        <v>Cash-Based</v>
      </c>
      <c r="T445" t="str">
        <f t="shared" si="34"/>
        <v>One-Time User</v>
      </c>
    </row>
    <row r="446" spans="1:20" ht="15.75" customHeight="1" x14ac:dyDescent="0.3">
      <c r="A446" s="2" t="s">
        <v>978</v>
      </c>
      <c r="B446" s="2">
        <v>130029</v>
      </c>
      <c r="C446" s="2" t="s">
        <v>979</v>
      </c>
      <c r="D446" s="2">
        <v>649264358079</v>
      </c>
      <c r="E446" s="2" t="s">
        <v>35</v>
      </c>
      <c r="F446" s="2" t="s">
        <v>136</v>
      </c>
      <c r="G446" s="2" t="s">
        <v>137</v>
      </c>
      <c r="H446" s="2" t="s">
        <v>21</v>
      </c>
      <c r="I446" s="2" t="s">
        <v>48</v>
      </c>
      <c r="J446" s="2">
        <v>290578.13</v>
      </c>
      <c r="K446" s="2" t="s">
        <v>23</v>
      </c>
      <c r="L446" s="3">
        <v>45400</v>
      </c>
      <c r="M446" s="2" t="s">
        <v>24</v>
      </c>
      <c r="N446" s="2">
        <v>678673.67999999993</v>
      </c>
      <c r="O446" s="2" t="s">
        <v>25</v>
      </c>
      <c r="P446" s="5" t="str">
        <f t="shared" si="30"/>
        <v>2024-04</v>
      </c>
      <c r="Q446">
        <f t="shared" si="31"/>
        <v>290578.13</v>
      </c>
      <c r="R446">
        <f t="shared" si="32"/>
        <v>0</v>
      </c>
      <c r="S446" t="str">
        <f t="shared" si="33"/>
        <v>Digital</v>
      </c>
      <c r="T446" t="str">
        <f t="shared" si="34"/>
        <v>One-Time User</v>
      </c>
    </row>
    <row r="447" spans="1:20" ht="15.75" customHeight="1" x14ac:dyDescent="0.3">
      <c r="A447" s="2" t="s">
        <v>980</v>
      </c>
      <c r="B447" s="2">
        <v>806467</v>
      </c>
      <c r="C447" s="2" t="s">
        <v>981</v>
      </c>
      <c r="D447" s="2">
        <v>781500218179</v>
      </c>
      <c r="E447" s="2" t="s">
        <v>64</v>
      </c>
      <c r="F447" s="2" t="s">
        <v>65</v>
      </c>
      <c r="G447" s="2" t="s">
        <v>66</v>
      </c>
      <c r="H447" s="2" t="s">
        <v>67</v>
      </c>
      <c r="I447" s="2" t="s">
        <v>48</v>
      </c>
      <c r="J447" s="2">
        <v>106758.52</v>
      </c>
      <c r="K447" s="2" t="s">
        <v>39</v>
      </c>
      <c r="L447" s="3">
        <v>45207</v>
      </c>
      <c r="M447" s="2" t="s">
        <v>168</v>
      </c>
      <c r="N447" s="2">
        <v>296937.62</v>
      </c>
      <c r="O447" s="2" t="s">
        <v>25</v>
      </c>
      <c r="P447" s="5" t="str">
        <f t="shared" si="30"/>
        <v>2023-10</v>
      </c>
      <c r="Q447">
        <f t="shared" si="31"/>
        <v>106758.52</v>
      </c>
      <c r="R447">
        <f t="shared" si="32"/>
        <v>0</v>
      </c>
      <c r="S447" t="str">
        <f t="shared" si="33"/>
        <v>Cash-Based</v>
      </c>
      <c r="T447" t="str">
        <f t="shared" si="34"/>
        <v>One-Time User</v>
      </c>
    </row>
    <row r="448" spans="1:20" ht="15.75" customHeight="1" x14ac:dyDescent="0.3">
      <c r="A448" s="2" t="s">
        <v>982</v>
      </c>
      <c r="B448" s="2">
        <v>908804</v>
      </c>
      <c r="C448" s="2" t="s">
        <v>983</v>
      </c>
      <c r="D448" s="2">
        <v>475332694595</v>
      </c>
      <c r="E448" s="2" t="s">
        <v>91</v>
      </c>
      <c r="F448" s="2" t="s">
        <v>130</v>
      </c>
      <c r="G448" s="2" t="s">
        <v>131</v>
      </c>
      <c r="H448" s="2" t="s">
        <v>31</v>
      </c>
      <c r="I448" s="2" t="s">
        <v>53</v>
      </c>
      <c r="J448" s="2">
        <v>55162.87</v>
      </c>
      <c r="K448" s="2" t="s">
        <v>98</v>
      </c>
      <c r="L448" s="3">
        <v>45258</v>
      </c>
      <c r="M448" s="2" t="s">
        <v>24</v>
      </c>
      <c r="N448" s="2">
        <v>951673.05999999994</v>
      </c>
      <c r="O448" s="2" t="s">
        <v>25</v>
      </c>
      <c r="P448" s="5" t="str">
        <f t="shared" si="30"/>
        <v>2023-11</v>
      </c>
      <c r="Q448">
        <f t="shared" si="31"/>
        <v>55162.87</v>
      </c>
      <c r="R448">
        <f t="shared" si="32"/>
        <v>0</v>
      </c>
      <c r="S448" t="str">
        <f t="shared" si="33"/>
        <v>Cash-Based</v>
      </c>
      <c r="T448" t="str">
        <f t="shared" si="34"/>
        <v>One-Time User</v>
      </c>
    </row>
    <row r="449" spans="1:20" ht="15.75" customHeight="1" x14ac:dyDescent="0.3">
      <c r="A449" s="2" t="s">
        <v>984</v>
      </c>
      <c r="B449" s="2">
        <v>578684</v>
      </c>
      <c r="C449" s="2" t="s">
        <v>985</v>
      </c>
      <c r="D449" s="2">
        <v>726753454826</v>
      </c>
      <c r="E449" s="2" t="s">
        <v>28</v>
      </c>
      <c r="F449" s="2" t="s">
        <v>192</v>
      </c>
      <c r="G449" s="2" t="s">
        <v>193</v>
      </c>
      <c r="H449" s="2" t="s">
        <v>70</v>
      </c>
      <c r="I449" s="2" t="s">
        <v>38</v>
      </c>
      <c r="J449" s="2">
        <v>145964.88</v>
      </c>
      <c r="K449" s="2" t="s">
        <v>32</v>
      </c>
      <c r="L449" s="3">
        <v>45534</v>
      </c>
      <c r="M449" s="2" t="s">
        <v>24</v>
      </c>
      <c r="N449" s="2">
        <v>176477.34</v>
      </c>
      <c r="O449" s="2" t="s">
        <v>25</v>
      </c>
      <c r="P449" s="5" t="str">
        <f t="shared" si="30"/>
        <v>2024-08</v>
      </c>
      <c r="Q449">
        <f t="shared" si="31"/>
        <v>-145964.88</v>
      </c>
      <c r="R449">
        <f t="shared" si="32"/>
        <v>0</v>
      </c>
      <c r="S449" t="str">
        <f t="shared" si="33"/>
        <v>Cash-Based</v>
      </c>
      <c r="T449" t="str">
        <f t="shared" si="34"/>
        <v>One-Time User</v>
      </c>
    </row>
    <row r="450" spans="1:20" ht="15.75" customHeight="1" x14ac:dyDescent="0.3">
      <c r="A450" s="2" t="s">
        <v>986</v>
      </c>
      <c r="B450" s="2">
        <v>855681</v>
      </c>
      <c r="C450" s="2" t="s">
        <v>987</v>
      </c>
      <c r="D450" s="2">
        <v>190826722420</v>
      </c>
      <c r="E450" s="2" t="s">
        <v>35</v>
      </c>
      <c r="F450" s="2" t="s">
        <v>42</v>
      </c>
      <c r="G450" s="2" t="s">
        <v>43</v>
      </c>
      <c r="H450" s="2" t="s">
        <v>67</v>
      </c>
      <c r="I450" s="2" t="s">
        <v>38</v>
      </c>
      <c r="J450" s="2">
        <v>40273.629999999997</v>
      </c>
      <c r="K450" s="2" t="s">
        <v>98</v>
      </c>
      <c r="L450" s="3">
        <v>45250</v>
      </c>
      <c r="M450" s="2" t="s">
        <v>24</v>
      </c>
      <c r="N450" s="2">
        <v>1640296.82</v>
      </c>
      <c r="O450" s="2" t="s">
        <v>25</v>
      </c>
      <c r="P450" s="5" t="str">
        <f t="shared" si="30"/>
        <v>2023-11</v>
      </c>
      <c r="Q450">
        <f t="shared" si="31"/>
        <v>-40273.629999999997</v>
      </c>
      <c r="R450">
        <f t="shared" si="32"/>
        <v>0</v>
      </c>
      <c r="S450" t="str">
        <f t="shared" si="33"/>
        <v>Cash-Based</v>
      </c>
      <c r="T450" t="str">
        <f t="shared" si="34"/>
        <v>One-Time User</v>
      </c>
    </row>
    <row r="451" spans="1:20" ht="15.75" customHeight="1" x14ac:dyDescent="0.3">
      <c r="A451" s="2" t="s">
        <v>988</v>
      </c>
      <c r="B451" s="2">
        <v>453699</v>
      </c>
      <c r="C451" s="2" t="s">
        <v>989</v>
      </c>
      <c r="D451" s="2">
        <v>544604573240</v>
      </c>
      <c r="E451" s="2" t="s">
        <v>91</v>
      </c>
      <c r="F451" s="2" t="s">
        <v>130</v>
      </c>
      <c r="G451" s="2" t="s">
        <v>131</v>
      </c>
      <c r="H451" s="2" t="s">
        <v>31</v>
      </c>
      <c r="I451" s="2" t="s">
        <v>48</v>
      </c>
      <c r="J451" s="2">
        <v>176968.27</v>
      </c>
      <c r="K451" s="2" t="s">
        <v>23</v>
      </c>
      <c r="L451" s="3">
        <v>45669</v>
      </c>
      <c r="M451" s="2" t="s">
        <v>24</v>
      </c>
      <c r="N451" s="2">
        <v>1090544.8999999999</v>
      </c>
      <c r="O451" s="2" t="s">
        <v>25</v>
      </c>
      <c r="P451" s="5" t="str">
        <f t="shared" ref="P451:P499" si="35">TEXT(L451,"yyyy-mm")</f>
        <v>2025-01</v>
      </c>
      <c r="Q451">
        <f t="shared" ref="Q451:Q501" si="36">IF(I451="Withdrawal",-J451,J451)</f>
        <v>176968.27</v>
      </c>
      <c r="R451">
        <f t="shared" ref="R451:R501" si="37">IF(O451="Yes",1,0)</f>
        <v>0</v>
      </c>
      <c r="S451" t="str">
        <f t="shared" ref="S451:S501" si="38">IF(OR(K451="ATM",K451="Mobile App",K451="UPI"),"Digital",IF(K451="Branch","Branch-Driven","Cash-Based"))</f>
        <v>Digital</v>
      </c>
      <c r="T451" t="str">
        <f t="shared" ref="T451:T501" si="39">IF(COUNTIF($C:$C,C451)&gt;1,"Frequent Transactor","One-Time User")</f>
        <v>One-Time User</v>
      </c>
    </row>
    <row r="452" spans="1:20" ht="15.75" customHeight="1" x14ac:dyDescent="0.3">
      <c r="A452" s="2" t="s">
        <v>990</v>
      </c>
      <c r="B452" s="2">
        <v>916141</v>
      </c>
      <c r="C452" s="2" t="s">
        <v>991</v>
      </c>
      <c r="D452" s="2">
        <v>838735243503</v>
      </c>
      <c r="E452" s="2" t="s">
        <v>28</v>
      </c>
      <c r="F452" s="2" t="s">
        <v>29</v>
      </c>
      <c r="G452" s="2" t="s">
        <v>30</v>
      </c>
      <c r="H452" s="2" t="s">
        <v>67</v>
      </c>
      <c r="I452" s="2" t="s">
        <v>38</v>
      </c>
      <c r="J452" s="2">
        <v>112350.94</v>
      </c>
      <c r="K452" s="2" t="s">
        <v>32</v>
      </c>
      <c r="L452" s="3">
        <v>45193</v>
      </c>
      <c r="M452" s="2" t="s">
        <v>24</v>
      </c>
      <c r="N452" s="2">
        <v>868277.44</v>
      </c>
      <c r="O452" s="2" t="s">
        <v>25</v>
      </c>
      <c r="P452" s="5" t="str">
        <f t="shared" si="35"/>
        <v>2023-09</v>
      </c>
      <c r="Q452">
        <f t="shared" si="36"/>
        <v>-112350.94</v>
      </c>
      <c r="R452">
        <f t="shared" si="37"/>
        <v>0</v>
      </c>
      <c r="S452" t="str">
        <f t="shared" si="38"/>
        <v>Cash-Based</v>
      </c>
      <c r="T452" t="str">
        <f t="shared" si="39"/>
        <v>One-Time User</v>
      </c>
    </row>
    <row r="453" spans="1:20" ht="15.75" customHeight="1" x14ac:dyDescent="0.3">
      <c r="A453" s="2" t="s">
        <v>992</v>
      </c>
      <c r="B453" s="2">
        <v>155828</v>
      </c>
      <c r="C453" s="2" t="s">
        <v>993</v>
      </c>
      <c r="D453" s="2">
        <v>139729440036</v>
      </c>
      <c r="E453" s="2" t="s">
        <v>35</v>
      </c>
      <c r="F453" s="2" t="s">
        <v>42</v>
      </c>
      <c r="G453" s="2" t="s">
        <v>43</v>
      </c>
      <c r="H453" s="2" t="s">
        <v>21</v>
      </c>
      <c r="I453" s="2" t="s">
        <v>48</v>
      </c>
      <c r="J453" s="2">
        <v>177814.59</v>
      </c>
      <c r="K453" s="2" t="s">
        <v>39</v>
      </c>
      <c r="L453" s="3">
        <v>45662</v>
      </c>
      <c r="M453" s="2" t="s">
        <v>24</v>
      </c>
      <c r="N453" s="2">
        <v>1805585.1</v>
      </c>
      <c r="O453" s="2" t="s">
        <v>25</v>
      </c>
      <c r="P453" s="5" t="str">
        <f t="shared" si="35"/>
        <v>2025-01</v>
      </c>
      <c r="Q453">
        <f t="shared" si="36"/>
        <v>177814.59</v>
      </c>
      <c r="R453">
        <f t="shared" si="37"/>
        <v>0</v>
      </c>
      <c r="S453" t="str">
        <f t="shared" si="38"/>
        <v>Cash-Based</v>
      </c>
      <c r="T453" t="str">
        <f t="shared" si="39"/>
        <v>One-Time User</v>
      </c>
    </row>
    <row r="454" spans="1:20" ht="15.75" customHeight="1" x14ac:dyDescent="0.3">
      <c r="A454" s="2" t="s">
        <v>994</v>
      </c>
      <c r="B454" s="2">
        <v>612319</v>
      </c>
      <c r="C454" s="2" t="s">
        <v>995</v>
      </c>
      <c r="D454" s="2">
        <v>656157267106</v>
      </c>
      <c r="E454" s="2" t="s">
        <v>28</v>
      </c>
      <c r="F454" s="2" t="s">
        <v>29</v>
      </c>
      <c r="G454" s="2" t="s">
        <v>30</v>
      </c>
      <c r="H454" s="2" t="s">
        <v>70</v>
      </c>
      <c r="I454" s="2" t="s">
        <v>22</v>
      </c>
      <c r="J454" s="2">
        <v>143983.29999999999</v>
      </c>
      <c r="K454" s="2" t="s">
        <v>39</v>
      </c>
      <c r="L454" s="3">
        <v>45666</v>
      </c>
      <c r="M454" s="2" t="s">
        <v>24</v>
      </c>
      <c r="N454" s="2">
        <v>306242.71000000002</v>
      </c>
      <c r="O454" s="2" t="s">
        <v>25</v>
      </c>
      <c r="P454" s="5" t="str">
        <f t="shared" si="35"/>
        <v>2025-01</v>
      </c>
      <c r="Q454">
        <f t="shared" si="36"/>
        <v>143983.29999999999</v>
      </c>
      <c r="R454">
        <f t="shared" si="37"/>
        <v>0</v>
      </c>
      <c r="S454" t="str">
        <f t="shared" si="38"/>
        <v>Cash-Based</v>
      </c>
      <c r="T454" t="str">
        <f t="shared" si="39"/>
        <v>One-Time User</v>
      </c>
    </row>
    <row r="455" spans="1:20" ht="15.75" customHeight="1" x14ac:dyDescent="0.3">
      <c r="A455" s="2" t="s">
        <v>996</v>
      </c>
      <c r="B455" s="2">
        <v>835355</v>
      </c>
      <c r="C455" s="2" t="s">
        <v>997</v>
      </c>
      <c r="D455" s="2">
        <v>536963920814</v>
      </c>
      <c r="E455" s="2" t="s">
        <v>28</v>
      </c>
      <c r="F455" s="2" t="s">
        <v>79</v>
      </c>
      <c r="G455" s="2" t="s">
        <v>80</v>
      </c>
      <c r="H455" s="2" t="s">
        <v>31</v>
      </c>
      <c r="I455" s="2" t="s">
        <v>22</v>
      </c>
      <c r="J455" s="2">
        <v>216375.47</v>
      </c>
      <c r="K455" s="2" t="s">
        <v>32</v>
      </c>
      <c r="L455" s="3">
        <v>45464</v>
      </c>
      <c r="M455" s="2" t="s">
        <v>24</v>
      </c>
      <c r="N455" s="2">
        <v>1872659.81</v>
      </c>
      <c r="O455" s="2" t="s">
        <v>25</v>
      </c>
      <c r="P455" s="5" t="str">
        <f t="shared" si="35"/>
        <v>2024-06</v>
      </c>
      <c r="Q455">
        <f t="shared" si="36"/>
        <v>216375.47</v>
      </c>
      <c r="R455">
        <f t="shared" si="37"/>
        <v>0</v>
      </c>
      <c r="S455" t="str">
        <f t="shared" si="38"/>
        <v>Cash-Based</v>
      </c>
      <c r="T455" t="str">
        <f t="shared" si="39"/>
        <v>One-Time User</v>
      </c>
    </row>
    <row r="456" spans="1:20" ht="15.75" customHeight="1" x14ac:dyDescent="0.3">
      <c r="A456" s="2" t="s">
        <v>998</v>
      </c>
      <c r="B456" s="2">
        <v>504669</v>
      </c>
      <c r="C456" s="2" t="s">
        <v>999</v>
      </c>
      <c r="D456" s="2">
        <v>754422929593</v>
      </c>
      <c r="E456" s="2" t="s">
        <v>18</v>
      </c>
      <c r="F456" s="2" t="s">
        <v>87</v>
      </c>
      <c r="G456" s="2" t="s">
        <v>88</v>
      </c>
      <c r="H456" s="2" t="s">
        <v>67</v>
      </c>
      <c r="I456" s="2" t="s">
        <v>53</v>
      </c>
      <c r="J456" s="2">
        <v>153284.23000000001</v>
      </c>
      <c r="K456" s="2" t="s">
        <v>49</v>
      </c>
      <c r="L456" s="3">
        <v>45553</v>
      </c>
      <c r="M456" s="2" t="s">
        <v>24</v>
      </c>
      <c r="N456" s="2">
        <v>2047719.1</v>
      </c>
      <c r="O456" s="2" t="s">
        <v>25</v>
      </c>
      <c r="P456" s="5" t="str">
        <f t="shared" si="35"/>
        <v>2024-09</v>
      </c>
      <c r="Q456">
        <f t="shared" si="36"/>
        <v>153284.23000000001</v>
      </c>
      <c r="R456">
        <f t="shared" si="37"/>
        <v>0</v>
      </c>
      <c r="S456" t="str">
        <f t="shared" si="38"/>
        <v>Cash-Based</v>
      </c>
      <c r="T456" t="str">
        <f t="shared" si="39"/>
        <v>One-Time User</v>
      </c>
    </row>
    <row r="457" spans="1:20" ht="15.75" customHeight="1" x14ac:dyDescent="0.3">
      <c r="A457" s="2" t="s">
        <v>1000</v>
      </c>
      <c r="B457" s="2">
        <v>473260</v>
      </c>
      <c r="C457" s="2" t="s">
        <v>1001</v>
      </c>
      <c r="D457" s="2">
        <v>304550826056</v>
      </c>
      <c r="E457" s="2" t="s">
        <v>28</v>
      </c>
      <c r="F457" s="2" t="s">
        <v>150</v>
      </c>
      <c r="G457" s="2" t="s">
        <v>151</v>
      </c>
      <c r="H457" s="2" t="s">
        <v>31</v>
      </c>
      <c r="I457" s="2" t="s">
        <v>53</v>
      </c>
      <c r="J457" s="2">
        <v>204242.97</v>
      </c>
      <c r="K457" s="2" t="s">
        <v>32</v>
      </c>
      <c r="L457" s="3">
        <v>45408</v>
      </c>
      <c r="M457" s="2" t="s">
        <v>24</v>
      </c>
      <c r="N457" s="2">
        <v>1266418.3500000001</v>
      </c>
      <c r="O457" s="2" t="s">
        <v>25</v>
      </c>
      <c r="P457" s="5" t="str">
        <f t="shared" si="35"/>
        <v>2024-04</v>
      </c>
      <c r="Q457">
        <f t="shared" si="36"/>
        <v>204242.97</v>
      </c>
      <c r="R457">
        <f t="shared" si="37"/>
        <v>0</v>
      </c>
      <c r="S457" t="str">
        <f t="shared" si="38"/>
        <v>Cash-Based</v>
      </c>
      <c r="T457" t="str">
        <f t="shared" si="39"/>
        <v>One-Time User</v>
      </c>
    </row>
    <row r="458" spans="1:20" ht="15.75" customHeight="1" x14ac:dyDescent="0.3">
      <c r="A458" s="2" t="s">
        <v>1002</v>
      </c>
      <c r="B458" s="2">
        <v>295399</v>
      </c>
      <c r="C458" s="2" t="s">
        <v>1003</v>
      </c>
      <c r="D458" s="2">
        <v>841211888565</v>
      </c>
      <c r="E458" s="2" t="s">
        <v>64</v>
      </c>
      <c r="F458" s="2" t="s">
        <v>166</v>
      </c>
      <c r="G458" s="2" t="s">
        <v>167</v>
      </c>
      <c r="H458" s="2" t="s">
        <v>21</v>
      </c>
      <c r="I458" s="2" t="s">
        <v>48</v>
      </c>
      <c r="J458" s="2">
        <v>32917.839999999997</v>
      </c>
      <c r="K458" s="2" t="s">
        <v>23</v>
      </c>
      <c r="L458" s="3">
        <v>45546</v>
      </c>
      <c r="M458" s="2" t="s">
        <v>24</v>
      </c>
      <c r="N458" s="2">
        <v>270187.18</v>
      </c>
      <c r="O458" s="2" t="s">
        <v>25</v>
      </c>
      <c r="P458" s="5" t="str">
        <f t="shared" si="35"/>
        <v>2024-09</v>
      </c>
      <c r="Q458">
        <f t="shared" si="36"/>
        <v>32917.839999999997</v>
      </c>
      <c r="R458">
        <f t="shared" si="37"/>
        <v>0</v>
      </c>
      <c r="S458" t="str">
        <f t="shared" si="38"/>
        <v>Digital</v>
      </c>
      <c r="T458" t="str">
        <f t="shared" si="39"/>
        <v>One-Time User</v>
      </c>
    </row>
    <row r="459" spans="1:20" ht="15.75" customHeight="1" x14ac:dyDescent="0.3">
      <c r="A459" s="2" t="s">
        <v>1004</v>
      </c>
      <c r="B459" s="2">
        <v>334036</v>
      </c>
      <c r="C459" s="2" t="s">
        <v>1005</v>
      </c>
      <c r="D459" s="2">
        <v>537089530790</v>
      </c>
      <c r="E459" s="2" t="s">
        <v>35</v>
      </c>
      <c r="F459" s="2" t="s">
        <v>60</v>
      </c>
      <c r="G459" s="2" t="s">
        <v>61</v>
      </c>
      <c r="H459" s="2" t="s">
        <v>67</v>
      </c>
      <c r="I459" s="2" t="s">
        <v>38</v>
      </c>
      <c r="J459" s="2">
        <v>104083.23</v>
      </c>
      <c r="K459" s="2" t="s">
        <v>32</v>
      </c>
      <c r="L459" s="3">
        <v>45391</v>
      </c>
      <c r="M459" s="2" t="s">
        <v>24</v>
      </c>
      <c r="N459" s="2">
        <v>1489360.81</v>
      </c>
      <c r="O459" s="2" t="s">
        <v>25</v>
      </c>
      <c r="P459" s="5" t="str">
        <f t="shared" si="35"/>
        <v>2024-04</v>
      </c>
      <c r="Q459">
        <f t="shared" si="36"/>
        <v>-104083.23</v>
      </c>
      <c r="R459">
        <f t="shared" si="37"/>
        <v>0</v>
      </c>
      <c r="S459" t="str">
        <f t="shared" si="38"/>
        <v>Cash-Based</v>
      </c>
      <c r="T459" t="str">
        <f t="shared" si="39"/>
        <v>One-Time User</v>
      </c>
    </row>
    <row r="460" spans="1:20" ht="15.75" customHeight="1" x14ac:dyDescent="0.3">
      <c r="A460" s="2" t="s">
        <v>1006</v>
      </c>
      <c r="B460" s="2">
        <v>935158</v>
      </c>
      <c r="C460" s="2" t="s">
        <v>1007</v>
      </c>
      <c r="D460" s="2">
        <v>944938346542</v>
      </c>
      <c r="E460" s="2" t="s">
        <v>64</v>
      </c>
      <c r="F460" s="2" t="s">
        <v>177</v>
      </c>
      <c r="G460" s="2" t="s">
        <v>178</v>
      </c>
      <c r="H460" s="2" t="s">
        <v>70</v>
      </c>
      <c r="I460" s="2" t="s">
        <v>48</v>
      </c>
      <c r="J460" s="2">
        <v>150210.6</v>
      </c>
      <c r="K460" s="2" t="s">
        <v>98</v>
      </c>
      <c r="L460" s="3">
        <v>45624</v>
      </c>
      <c r="M460" s="2" t="s">
        <v>24</v>
      </c>
      <c r="N460" s="2">
        <v>1487795.84</v>
      </c>
      <c r="O460" s="2" t="s">
        <v>25</v>
      </c>
      <c r="P460" s="5" t="str">
        <f t="shared" si="35"/>
        <v>2024-11</v>
      </c>
      <c r="Q460">
        <f t="shared" si="36"/>
        <v>150210.6</v>
      </c>
      <c r="R460">
        <f t="shared" si="37"/>
        <v>0</v>
      </c>
      <c r="S460" t="str">
        <f t="shared" si="38"/>
        <v>Cash-Based</v>
      </c>
      <c r="T460" t="str">
        <f t="shared" si="39"/>
        <v>One-Time User</v>
      </c>
    </row>
    <row r="461" spans="1:20" ht="15.75" customHeight="1" x14ac:dyDescent="0.3">
      <c r="A461" s="2" t="s">
        <v>1008</v>
      </c>
      <c r="B461" s="2">
        <v>767001</v>
      </c>
      <c r="C461" s="2" t="s">
        <v>1009</v>
      </c>
      <c r="D461" s="2">
        <v>674606333456</v>
      </c>
      <c r="E461" s="2" t="s">
        <v>64</v>
      </c>
      <c r="F461" s="2" t="s">
        <v>166</v>
      </c>
      <c r="G461" s="2" t="s">
        <v>167</v>
      </c>
      <c r="H461" s="2" t="s">
        <v>67</v>
      </c>
      <c r="I461" s="2" t="s">
        <v>22</v>
      </c>
      <c r="J461" s="2">
        <v>540827.56000000006</v>
      </c>
      <c r="K461" s="2" t="s">
        <v>23</v>
      </c>
      <c r="L461" s="3">
        <v>45403</v>
      </c>
      <c r="M461" s="2" t="s">
        <v>24</v>
      </c>
      <c r="N461" s="2">
        <v>1173477.6299999999</v>
      </c>
      <c r="O461" s="2" t="s">
        <v>25</v>
      </c>
      <c r="P461" s="5" t="str">
        <f t="shared" si="35"/>
        <v>2024-04</v>
      </c>
      <c r="Q461">
        <f t="shared" si="36"/>
        <v>540827.56000000006</v>
      </c>
      <c r="R461">
        <f t="shared" si="37"/>
        <v>0</v>
      </c>
      <c r="S461" t="str">
        <f t="shared" si="38"/>
        <v>Digital</v>
      </c>
      <c r="T461" t="str">
        <f t="shared" si="39"/>
        <v>One-Time User</v>
      </c>
    </row>
    <row r="462" spans="1:20" ht="15.75" customHeight="1" x14ac:dyDescent="0.3">
      <c r="A462" s="2" t="s">
        <v>1010</v>
      </c>
      <c r="B462" s="2">
        <v>969821</v>
      </c>
      <c r="C462" s="2" t="s">
        <v>1011</v>
      </c>
      <c r="D462" s="2">
        <v>780902409708</v>
      </c>
      <c r="E462" s="2" t="s">
        <v>35</v>
      </c>
      <c r="F462" s="2" t="s">
        <v>36</v>
      </c>
      <c r="G462" s="2" t="s">
        <v>37</v>
      </c>
      <c r="H462" s="2" t="s">
        <v>70</v>
      </c>
      <c r="I462" s="2" t="s">
        <v>38</v>
      </c>
      <c r="J462" s="2">
        <v>137525.01</v>
      </c>
      <c r="K462" s="2" t="s">
        <v>39</v>
      </c>
      <c r="L462" s="3">
        <v>45322</v>
      </c>
      <c r="M462" s="2" t="s">
        <v>24</v>
      </c>
      <c r="N462" s="2">
        <v>1849118.19</v>
      </c>
      <c r="O462" s="2" t="s">
        <v>25</v>
      </c>
      <c r="P462" s="5" t="str">
        <f t="shared" si="35"/>
        <v>2024-01</v>
      </c>
      <c r="Q462">
        <f t="shared" si="36"/>
        <v>-137525.01</v>
      </c>
      <c r="R462">
        <f t="shared" si="37"/>
        <v>0</v>
      </c>
      <c r="S462" t="str">
        <f t="shared" si="38"/>
        <v>Cash-Based</v>
      </c>
      <c r="T462" t="str">
        <f t="shared" si="39"/>
        <v>One-Time User</v>
      </c>
    </row>
    <row r="463" spans="1:20" ht="15.75" customHeight="1" x14ac:dyDescent="0.3">
      <c r="A463" s="2" t="s">
        <v>1012</v>
      </c>
      <c r="B463" s="2">
        <v>567678</v>
      </c>
      <c r="C463" s="2" t="s">
        <v>1013</v>
      </c>
      <c r="D463" s="2">
        <v>441180444719</v>
      </c>
      <c r="E463" s="2" t="s">
        <v>64</v>
      </c>
      <c r="F463" s="2" t="s">
        <v>65</v>
      </c>
      <c r="G463" s="2" t="s">
        <v>66</v>
      </c>
      <c r="H463" s="2" t="s">
        <v>31</v>
      </c>
      <c r="I463" s="2" t="s">
        <v>22</v>
      </c>
      <c r="J463" s="2">
        <v>520051.76</v>
      </c>
      <c r="K463" s="2" t="s">
        <v>39</v>
      </c>
      <c r="L463" s="3">
        <v>45454</v>
      </c>
      <c r="M463" s="2" t="s">
        <v>24</v>
      </c>
      <c r="N463" s="2">
        <v>1715566.76</v>
      </c>
      <c r="O463" s="2" t="s">
        <v>25</v>
      </c>
      <c r="P463" s="5" t="str">
        <f t="shared" si="35"/>
        <v>2024-06</v>
      </c>
      <c r="Q463">
        <f t="shared" si="36"/>
        <v>520051.76</v>
      </c>
      <c r="R463">
        <f t="shared" si="37"/>
        <v>0</v>
      </c>
      <c r="S463" t="str">
        <f t="shared" si="38"/>
        <v>Cash-Based</v>
      </c>
      <c r="T463" t="str">
        <f t="shared" si="39"/>
        <v>One-Time User</v>
      </c>
    </row>
    <row r="464" spans="1:20" ht="15.75" customHeight="1" x14ac:dyDescent="0.3">
      <c r="A464" s="2" t="s">
        <v>1014</v>
      </c>
      <c r="B464" s="2">
        <v>689621</v>
      </c>
      <c r="C464" s="2" t="s">
        <v>1015</v>
      </c>
      <c r="D464" s="2">
        <v>996618159017</v>
      </c>
      <c r="E464" s="2" t="s">
        <v>91</v>
      </c>
      <c r="F464" s="2" t="s">
        <v>130</v>
      </c>
      <c r="G464" s="2" t="s">
        <v>131</v>
      </c>
      <c r="H464" s="2" t="s">
        <v>70</v>
      </c>
      <c r="I464" s="2" t="s">
        <v>48</v>
      </c>
      <c r="J464" s="2">
        <v>163962.70000000001</v>
      </c>
      <c r="K464" s="2" t="s">
        <v>32</v>
      </c>
      <c r="L464" s="3">
        <v>45211</v>
      </c>
      <c r="M464" s="2" t="s">
        <v>24</v>
      </c>
      <c r="N464" s="2">
        <v>2001906.48</v>
      </c>
      <c r="O464" s="2" t="s">
        <v>25</v>
      </c>
      <c r="P464" s="5" t="str">
        <f t="shared" si="35"/>
        <v>2023-10</v>
      </c>
      <c r="Q464">
        <f t="shared" si="36"/>
        <v>163962.70000000001</v>
      </c>
      <c r="R464">
        <f t="shared" si="37"/>
        <v>0</v>
      </c>
      <c r="S464" t="str">
        <f t="shared" si="38"/>
        <v>Cash-Based</v>
      </c>
      <c r="T464" t="str">
        <f t="shared" si="39"/>
        <v>One-Time User</v>
      </c>
    </row>
    <row r="465" spans="1:20" ht="15.75" customHeight="1" x14ac:dyDescent="0.3">
      <c r="A465" s="2" t="s">
        <v>1016</v>
      </c>
      <c r="B465" s="2">
        <v>224857</v>
      </c>
      <c r="C465" s="2" t="s">
        <v>1017</v>
      </c>
      <c r="D465" s="2">
        <v>337595113221</v>
      </c>
      <c r="E465" s="2" t="s">
        <v>64</v>
      </c>
      <c r="F465" s="2" t="s">
        <v>166</v>
      </c>
      <c r="G465" s="2" t="s">
        <v>167</v>
      </c>
      <c r="H465" s="2" t="s">
        <v>31</v>
      </c>
      <c r="I465" s="2" t="s">
        <v>22</v>
      </c>
      <c r="J465" s="2">
        <v>416358.8</v>
      </c>
      <c r="K465" s="2" t="s">
        <v>39</v>
      </c>
      <c r="L465" s="3">
        <v>45700</v>
      </c>
      <c r="M465" s="2" t="s">
        <v>24</v>
      </c>
      <c r="N465" s="2">
        <v>2177281.27</v>
      </c>
      <c r="O465" s="2" t="s">
        <v>25</v>
      </c>
      <c r="P465" s="5" t="str">
        <f t="shared" si="35"/>
        <v>2025-02</v>
      </c>
      <c r="Q465">
        <f t="shared" si="36"/>
        <v>416358.8</v>
      </c>
      <c r="R465">
        <f t="shared" si="37"/>
        <v>0</v>
      </c>
      <c r="S465" t="str">
        <f t="shared" si="38"/>
        <v>Cash-Based</v>
      </c>
      <c r="T465" t="str">
        <f t="shared" si="39"/>
        <v>One-Time User</v>
      </c>
    </row>
    <row r="466" spans="1:20" ht="15.75" customHeight="1" x14ac:dyDescent="0.3">
      <c r="A466" s="2" t="s">
        <v>1018</v>
      </c>
      <c r="B466" s="2">
        <v>240183</v>
      </c>
      <c r="C466" s="2" t="s">
        <v>1019</v>
      </c>
      <c r="D466" s="2">
        <v>781431196996</v>
      </c>
      <c r="E466" s="2" t="s">
        <v>64</v>
      </c>
      <c r="F466" s="2" t="s">
        <v>83</v>
      </c>
      <c r="G466" s="2" t="s">
        <v>84</v>
      </c>
      <c r="H466" s="2" t="s">
        <v>70</v>
      </c>
      <c r="I466" s="2" t="s">
        <v>48</v>
      </c>
      <c r="J466" s="2">
        <v>102467.43</v>
      </c>
      <c r="K466" s="2" t="s">
        <v>98</v>
      </c>
      <c r="L466" s="3">
        <v>45346</v>
      </c>
      <c r="M466" s="2" t="s">
        <v>113</v>
      </c>
      <c r="N466" s="2">
        <v>1069178.8700000001</v>
      </c>
      <c r="O466" s="2" t="s">
        <v>25</v>
      </c>
      <c r="P466" s="5" t="str">
        <f t="shared" si="35"/>
        <v>2024-02</v>
      </c>
      <c r="Q466">
        <f t="shared" si="36"/>
        <v>102467.43</v>
      </c>
      <c r="R466">
        <f t="shared" si="37"/>
        <v>0</v>
      </c>
      <c r="S466" t="str">
        <f t="shared" si="38"/>
        <v>Cash-Based</v>
      </c>
      <c r="T466" t="str">
        <f t="shared" si="39"/>
        <v>One-Time User</v>
      </c>
    </row>
    <row r="467" spans="1:20" ht="15.75" customHeight="1" x14ac:dyDescent="0.3">
      <c r="A467" s="2" t="s">
        <v>1020</v>
      </c>
      <c r="B467" s="2">
        <v>187594</v>
      </c>
      <c r="C467" s="2" t="s">
        <v>1021</v>
      </c>
      <c r="D467" s="2">
        <v>670671711566</v>
      </c>
      <c r="E467" s="2" t="s">
        <v>18</v>
      </c>
      <c r="F467" s="2" t="s">
        <v>19</v>
      </c>
      <c r="G467" s="2" t="s">
        <v>20</v>
      </c>
      <c r="H467" s="2" t="s">
        <v>31</v>
      </c>
      <c r="I467" s="2" t="s">
        <v>53</v>
      </c>
      <c r="J467" s="2">
        <v>442525.87</v>
      </c>
      <c r="K467" s="2" t="s">
        <v>32</v>
      </c>
      <c r="L467" s="3">
        <v>45627</v>
      </c>
      <c r="M467" s="2" t="s">
        <v>24</v>
      </c>
      <c r="N467" s="2">
        <v>1221978.27</v>
      </c>
      <c r="O467" s="2" t="s">
        <v>25</v>
      </c>
      <c r="P467" s="5" t="str">
        <f t="shared" si="35"/>
        <v>2024-12</v>
      </c>
      <c r="Q467">
        <f t="shared" si="36"/>
        <v>442525.87</v>
      </c>
      <c r="R467">
        <f t="shared" si="37"/>
        <v>0</v>
      </c>
      <c r="S467" t="str">
        <f t="shared" si="38"/>
        <v>Cash-Based</v>
      </c>
      <c r="T467" t="str">
        <f t="shared" si="39"/>
        <v>One-Time User</v>
      </c>
    </row>
    <row r="468" spans="1:20" ht="15.75" customHeight="1" x14ac:dyDescent="0.3">
      <c r="A468" s="2" t="s">
        <v>1022</v>
      </c>
      <c r="B468" s="2">
        <v>490738</v>
      </c>
      <c r="C468" s="2" t="s">
        <v>1023</v>
      </c>
      <c r="D468" s="2">
        <v>159475214466</v>
      </c>
      <c r="E468" s="2" t="s">
        <v>18</v>
      </c>
      <c r="F468" s="2" t="s">
        <v>156</v>
      </c>
      <c r="G468" s="2" t="s">
        <v>157</v>
      </c>
      <c r="H468" s="2" t="s">
        <v>70</v>
      </c>
      <c r="I468" s="2" t="s">
        <v>38</v>
      </c>
      <c r="J468" s="2">
        <v>9274.36</v>
      </c>
      <c r="K468" s="2" t="s">
        <v>32</v>
      </c>
      <c r="L468" s="3">
        <v>45401</v>
      </c>
      <c r="M468" s="2" t="s">
        <v>24</v>
      </c>
      <c r="N468" s="2">
        <v>1645111.59</v>
      </c>
      <c r="O468" s="2" t="s">
        <v>25</v>
      </c>
      <c r="P468" s="5" t="str">
        <f t="shared" si="35"/>
        <v>2024-04</v>
      </c>
      <c r="Q468">
        <f t="shared" si="36"/>
        <v>-9274.36</v>
      </c>
      <c r="R468">
        <f t="shared" si="37"/>
        <v>0</v>
      </c>
      <c r="S468" t="str">
        <f t="shared" si="38"/>
        <v>Cash-Based</v>
      </c>
      <c r="T468" t="str">
        <f t="shared" si="39"/>
        <v>One-Time User</v>
      </c>
    </row>
    <row r="469" spans="1:20" ht="15.75" customHeight="1" x14ac:dyDescent="0.3">
      <c r="A469" s="2" t="s">
        <v>1024</v>
      </c>
      <c r="B469" s="2">
        <v>186325</v>
      </c>
      <c r="C469" s="2" t="s">
        <v>1025</v>
      </c>
      <c r="D469" s="2">
        <v>760895056386</v>
      </c>
      <c r="E469" s="2" t="s">
        <v>28</v>
      </c>
      <c r="F469" s="2" t="s">
        <v>79</v>
      </c>
      <c r="G469" s="2" t="s">
        <v>80</v>
      </c>
      <c r="H469" s="2" t="s">
        <v>21</v>
      </c>
      <c r="I469" s="2" t="s">
        <v>48</v>
      </c>
      <c r="J469" s="2">
        <v>118082.76</v>
      </c>
      <c r="K469" s="2" t="s">
        <v>23</v>
      </c>
      <c r="L469" s="3">
        <v>45152</v>
      </c>
      <c r="M469" s="2" t="s">
        <v>24</v>
      </c>
      <c r="N469" s="2">
        <v>1846449.16</v>
      </c>
      <c r="O469" s="2" t="s">
        <v>25</v>
      </c>
      <c r="P469" s="5" t="str">
        <f t="shared" si="35"/>
        <v>2023-08</v>
      </c>
      <c r="Q469">
        <f t="shared" si="36"/>
        <v>118082.76</v>
      </c>
      <c r="R469">
        <f t="shared" si="37"/>
        <v>0</v>
      </c>
      <c r="S469" t="str">
        <f t="shared" si="38"/>
        <v>Digital</v>
      </c>
      <c r="T469" t="str">
        <f t="shared" si="39"/>
        <v>One-Time User</v>
      </c>
    </row>
    <row r="470" spans="1:20" ht="15.75" customHeight="1" x14ac:dyDescent="0.3">
      <c r="A470" s="2" t="s">
        <v>1026</v>
      </c>
      <c r="B470" s="2">
        <v>441216</v>
      </c>
      <c r="C470" s="2" t="s">
        <v>1027</v>
      </c>
      <c r="D470" s="2">
        <v>384501417224</v>
      </c>
      <c r="E470" s="2" t="s">
        <v>91</v>
      </c>
      <c r="F470" s="2" t="s">
        <v>105</v>
      </c>
      <c r="G470" s="2" t="s">
        <v>106</v>
      </c>
      <c r="H470" s="2" t="s">
        <v>67</v>
      </c>
      <c r="I470" s="2" t="s">
        <v>53</v>
      </c>
      <c r="J470" s="2">
        <v>15002.6</v>
      </c>
      <c r="K470" s="2" t="s">
        <v>49</v>
      </c>
      <c r="L470" s="3">
        <v>45167</v>
      </c>
      <c r="M470" s="2" t="s">
        <v>24</v>
      </c>
      <c r="N470" s="2">
        <v>426860.72</v>
      </c>
      <c r="O470" s="2" t="s">
        <v>25</v>
      </c>
      <c r="P470" s="5" t="str">
        <f t="shared" si="35"/>
        <v>2023-08</v>
      </c>
      <c r="Q470">
        <f t="shared" si="36"/>
        <v>15002.6</v>
      </c>
      <c r="R470">
        <f t="shared" si="37"/>
        <v>0</v>
      </c>
      <c r="S470" t="str">
        <f t="shared" si="38"/>
        <v>Cash-Based</v>
      </c>
      <c r="T470" t="str">
        <f t="shared" si="39"/>
        <v>One-Time User</v>
      </c>
    </row>
    <row r="471" spans="1:20" ht="15.75" customHeight="1" x14ac:dyDescent="0.3">
      <c r="A471" s="2" t="s">
        <v>1028</v>
      </c>
      <c r="B471" s="2">
        <v>415091</v>
      </c>
      <c r="C471" s="2" t="s">
        <v>1029</v>
      </c>
      <c r="D471" s="2">
        <v>582715807001</v>
      </c>
      <c r="E471" s="2" t="s">
        <v>91</v>
      </c>
      <c r="F471" s="2" t="s">
        <v>162</v>
      </c>
      <c r="G471" s="2" t="s">
        <v>163</v>
      </c>
      <c r="H471" s="2" t="s">
        <v>31</v>
      </c>
      <c r="I471" s="2" t="s">
        <v>53</v>
      </c>
      <c r="J471" s="2">
        <v>186304.69</v>
      </c>
      <c r="K471" s="2" t="s">
        <v>49</v>
      </c>
      <c r="L471" s="3">
        <v>45467</v>
      </c>
      <c r="M471" s="2" t="s">
        <v>24</v>
      </c>
      <c r="N471" s="2">
        <v>558204.13</v>
      </c>
      <c r="O471" s="2" t="s">
        <v>25</v>
      </c>
      <c r="P471" s="5" t="str">
        <f t="shared" si="35"/>
        <v>2024-06</v>
      </c>
      <c r="Q471">
        <f t="shared" si="36"/>
        <v>186304.69</v>
      </c>
      <c r="R471">
        <f t="shared" si="37"/>
        <v>0</v>
      </c>
      <c r="S471" t="str">
        <f t="shared" si="38"/>
        <v>Cash-Based</v>
      </c>
      <c r="T471" t="str">
        <f t="shared" si="39"/>
        <v>One-Time User</v>
      </c>
    </row>
    <row r="472" spans="1:20" ht="15.75" customHeight="1" x14ac:dyDescent="0.3">
      <c r="A472" s="2" t="s">
        <v>1030</v>
      </c>
      <c r="B472" s="2">
        <v>647451</v>
      </c>
      <c r="C472" s="2" t="s">
        <v>1031</v>
      </c>
      <c r="D472" s="2">
        <v>908575564799</v>
      </c>
      <c r="E472" s="2" t="s">
        <v>28</v>
      </c>
      <c r="F472" s="2" t="s">
        <v>79</v>
      </c>
      <c r="G472" s="2" t="s">
        <v>80</v>
      </c>
      <c r="H472" s="2" t="s">
        <v>67</v>
      </c>
      <c r="I472" s="2" t="s">
        <v>53</v>
      </c>
      <c r="J472" s="2">
        <v>305720.05</v>
      </c>
      <c r="K472" s="2" t="s">
        <v>49</v>
      </c>
      <c r="L472" s="3">
        <v>45698</v>
      </c>
      <c r="M472" s="2" t="s">
        <v>113</v>
      </c>
      <c r="N472" s="2">
        <v>1570752.15</v>
      </c>
      <c r="O472" s="2" t="s">
        <v>25</v>
      </c>
      <c r="P472" s="5" t="str">
        <f t="shared" si="35"/>
        <v>2025-02</v>
      </c>
      <c r="Q472">
        <f t="shared" si="36"/>
        <v>305720.05</v>
      </c>
      <c r="R472">
        <f t="shared" si="37"/>
        <v>0</v>
      </c>
      <c r="S472" t="str">
        <f t="shared" si="38"/>
        <v>Cash-Based</v>
      </c>
      <c r="T472" t="str">
        <f t="shared" si="39"/>
        <v>One-Time User</v>
      </c>
    </row>
    <row r="473" spans="1:20" ht="15.75" customHeight="1" x14ac:dyDescent="0.3">
      <c r="A473" s="2" t="s">
        <v>1032</v>
      </c>
      <c r="B473" s="2">
        <v>313682</v>
      </c>
      <c r="C473" s="2" t="s">
        <v>1033</v>
      </c>
      <c r="D473" s="2">
        <v>975793031886</v>
      </c>
      <c r="E473" s="2" t="s">
        <v>35</v>
      </c>
      <c r="F473" s="2" t="s">
        <v>36</v>
      </c>
      <c r="G473" s="2" t="s">
        <v>37</v>
      </c>
      <c r="H473" s="2" t="s">
        <v>70</v>
      </c>
      <c r="I473" s="2" t="s">
        <v>53</v>
      </c>
      <c r="J473" s="2">
        <v>94684.54</v>
      </c>
      <c r="K473" s="2" t="s">
        <v>49</v>
      </c>
      <c r="L473" s="3">
        <v>45521</v>
      </c>
      <c r="M473" s="2" t="s">
        <v>24</v>
      </c>
      <c r="N473" s="2">
        <v>481839.38</v>
      </c>
      <c r="O473" s="2" t="s">
        <v>25</v>
      </c>
      <c r="P473" s="5" t="str">
        <f t="shared" si="35"/>
        <v>2024-08</v>
      </c>
      <c r="Q473">
        <f t="shared" si="36"/>
        <v>94684.54</v>
      </c>
      <c r="R473">
        <f t="shared" si="37"/>
        <v>0</v>
      </c>
      <c r="S473" t="str">
        <f t="shared" si="38"/>
        <v>Cash-Based</v>
      </c>
      <c r="T473" t="str">
        <f t="shared" si="39"/>
        <v>One-Time User</v>
      </c>
    </row>
    <row r="474" spans="1:20" ht="15.75" customHeight="1" x14ac:dyDescent="0.3">
      <c r="A474" s="2" t="s">
        <v>1034</v>
      </c>
      <c r="B474" s="2">
        <v>896301</v>
      </c>
      <c r="C474" s="2" t="s">
        <v>1035</v>
      </c>
      <c r="D474" s="2">
        <v>434355404660</v>
      </c>
      <c r="E474" s="2" t="s">
        <v>91</v>
      </c>
      <c r="F474" s="2" t="s">
        <v>109</v>
      </c>
      <c r="G474" s="2" t="s">
        <v>110</v>
      </c>
      <c r="H474" s="2" t="s">
        <v>31</v>
      </c>
      <c r="I474" s="2" t="s">
        <v>53</v>
      </c>
      <c r="J474" s="2">
        <v>266228.63</v>
      </c>
      <c r="K474" s="2" t="s">
        <v>49</v>
      </c>
      <c r="L474" s="3">
        <v>45724</v>
      </c>
      <c r="M474" s="2" t="s">
        <v>24</v>
      </c>
      <c r="N474" s="2">
        <v>1677551.8</v>
      </c>
      <c r="O474" s="2" t="s">
        <v>25</v>
      </c>
      <c r="P474" s="5" t="str">
        <f t="shared" si="35"/>
        <v>2025-03</v>
      </c>
      <c r="Q474">
        <f t="shared" si="36"/>
        <v>266228.63</v>
      </c>
      <c r="R474">
        <f t="shared" si="37"/>
        <v>0</v>
      </c>
      <c r="S474" t="str">
        <f t="shared" si="38"/>
        <v>Cash-Based</v>
      </c>
      <c r="T474" t="str">
        <f t="shared" si="39"/>
        <v>One-Time User</v>
      </c>
    </row>
    <row r="475" spans="1:20" ht="15.75" customHeight="1" x14ac:dyDescent="0.3">
      <c r="A475" s="2" t="s">
        <v>1036</v>
      </c>
      <c r="B475" s="2">
        <v>675784</v>
      </c>
      <c r="C475" s="2" t="s">
        <v>1037</v>
      </c>
      <c r="D475" s="2">
        <v>788941069391</v>
      </c>
      <c r="E475" s="2" t="s">
        <v>18</v>
      </c>
      <c r="F475" s="2" t="s">
        <v>87</v>
      </c>
      <c r="G475" s="2" t="s">
        <v>88</v>
      </c>
      <c r="H475" s="2" t="s">
        <v>21</v>
      </c>
      <c r="I475" s="2" t="s">
        <v>38</v>
      </c>
      <c r="J475" s="2">
        <v>103723.98</v>
      </c>
      <c r="K475" s="2" t="s">
        <v>98</v>
      </c>
      <c r="L475" s="3">
        <v>45639</v>
      </c>
      <c r="M475" s="2" t="s">
        <v>24</v>
      </c>
      <c r="N475" s="2">
        <v>102204.71</v>
      </c>
      <c r="O475" s="2" t="s">
        <v>25</v>
      </c>
      <c r="P475" s="5" t="str">
        <f t="shared" si="35"/>
        <v>2024-12</v>
      </c>
      <c r="Q475">
        <f t="shared" si="36"/>
        <v>-103723.98</v>
      </c>
      <c r="R475">
        <f t="shared" si="37"/>
        <v>0</v>
      </c>
      <c r="S475" t="str">
        <f t="shared" si="38"/>
        <v>Cash-Based</v>
      </c>
      <c r="T475" t="str">
        <f t="shared" si="39"/>
        <v>One-Time User</v>
      </c>
    </row>
    <row r="476" spans="1:20" ht="15.75" customHeight="1" x14ac:dyDescent="0.3">
      <c r="A476" s="2" t="s">
        <v>1038</v>
      </c>
      <c r="B476" s="2">
        <v>555371</v>
      </c>
      <c r="C476" s="2" t="s">
        <v>1039</v>
      </c>
      <c r="D476" s="2">
        <v>229471966150</v>
      </c>
      <c r="E476" s="2" t="s">
        <v>35</v>
      </c>
      <c r="F476" s="2" t="s">
        <v>73</v>
      </c>
      <c r="G476" s="2" t="s">
        <v>74</v>
      </c>
      <c r="H476" s="2" t="s">
        <v>70</v>
      </c>
      <c r="I476" s="2" t="s">
        <v>38</v>
      </c>
      <c r="J476" s="2">
        <v>82951.97</v>
      </c>
      <c r="K476" s="2" t="s">
        <v>39</v>
      </c>
      <c r="L476" s="3">
        <v>45260</v>
      </c>
      <c r="M476" s="2" t="s">
        <v>24</v>
      </c>
      <c r="N476" s="2">
        <v>1906817.37</v>
      </c>
      <c r="O476" s="2" t="s">
        <v>25</v>
      </c>
      <c r="P476" s="5" t="str">
        <f t="shared" si="35"/>
        <v>2023-11</v>
      </c>
      <c r="Q476">
        <f t="shared" si="36"/>
        <v>-82951.97</v>
      </c>
      <c r="R476">
        <f t="shared" si="37"/>
        <v>0</v>
      </c>
      <c r="S476" t="str">
        <f t="shared" si="38"/>
        <v>Cash-Based</v>
      </c>
      <c r="T476" t="str">
        <f t="shared" si="39"/>
        <v>One-Time User</v>
      </c>
    </row>
    <row r="477" spans="1:20" ht="15.75" customHeight="1" x14ac:dyDescent="0.3">
      <c r="A477" s="2" t="s">
        <v>1040</v>
      </c>
      <c r="B477" s="2">
        <v>718015</v>
      </c>
      <c r="C477" s="2" t="s">
        <v>1041</v>
      </c>
      <c r="D477" s="2">
        <v>312934784546</v>
      </c>
      <c r="E477" s="2" t="s">
        <v>35</v>
      </c>
      <c r="F477" s="2" t="s">
        <v>73</v>
      </c>
      <c r="G477" s="2" t="s">
        <v>74</v>
      </c>
      <c r="H477" s="2" t="s">
        <v>31</v>
      </c>
      <c r="I477" s="2" t="s">
        <v>53</v>
      </c>
      <c r="J477" s="2">
        <v>90532.41</v>
      </c>
      <c r="K477" s="2" t="s">
        <v>98</v>
      </c>
      <c r="L477" s="3">
        <v>45470</v>
      </c>
      <c r="M477" s="2" t="s">
        <v>24</v>
      </c>
      <c r="N477" s="2">
        <v>1284948.74</v>
      </c>
      <c r="O477" s="2" t="s">
        <v>25</v>
      </c>
      <c r="P477" s="5" t="str">
        <f t="shared" si="35"/>
        <v>2024-06</v>
      </c>
      <c r="Q477">
        <f t="shared" si="36"/>
        <v>90532.41</v>
      </c>
      <c r="R477">
        <f t="shared" si="37"/>
        <v>0</v>
      </c>
      <c r="S477" t="str">
        <f t="shared" si="38"/>
        <v>Cash-Based</v>
      </c>
      <c r="T477" t="str">
        <f t="shared" si="39"/>
        <v>One-Time User</v>
      </c>
    </row>
    <row r="478" spans="1:20" ht="15.75" customHeight="1" x14ac:dyDescent="0.3">
      <c r="A478" s="2" t="s">
        <v>1042</v>
      </c>
      <c r="B478" s="2">
        <v>303217</v>
      </c>
      <c r="C478" s="2" t="s">
        <v>1043</v>
      </c>
      <c r="D478" s="2">
        <v>628667719492</v>
      </c>
      <c r="E478" s="2" t="s">
        <v>64</v>
      </c>
      <c r="F478" s="2" t="s">
        <v>177</v>
      </c>
      <c r="G478" s="2" t="s">
        <v>178</v>
      </c>
      <c r="H478" s="2" t="s">
        <v>21</v>
      </c>
      <c r="I478" s="2" t="s">
        <v>53</v>
      </c>
      <c r="J478" s="2">
        <v>25585.29</v>
      </c>
      <c r="K478" s="2" t="s">
        <v>32</v>
      </c>
      <c r="L478" s="3">
        <v>45122</v>
      </c>
      <c r="M478" s="2" t="s">
        <v>24</v>
      </c>
      <c r="N478" s="2">
        <v>1386616.39</v>
      </c>
      <c r="O478" s="2" t="s">
        <v>25</v>
      </c>
      <c r="P478" s="5" t="str">
        <f t="shared" si="35"/>
        <v>2023-07</v>
      </c>
      <c r="Q478">
        <f t="shared" si="36"/>
        <v>25585.29</v>
      </c>
      <c r="R478">
        <f t="shared" si="37"/>
        <v>0</v>
      </c>
      <c r="S478" t="str">
        <f t="shared" si="38"/>
        <v>Cash-Based</v>
      </c>
      <c r="T478" t="str">
        <f t="shared" si="39"/>
        <v>One-Time User</v>
      </c>
    </row>
    <row r="479" spans="1:20" ht="15.75" customHeight="1" x14ac:dyDescent="0.3">
      <c r="A479" s="2" t="s">
        <v>1044</v>
      </c>
      <c r="B479" s="2">
        <v>946247</v>
      </c>
      <c r="C479" s="2" t="s">
        <v>1045</v>
      </c>
      <c r="D479" s="2">
        <v>800614144292</v>
      </c>
      <c r="E479" s="2" t="s">
        <v>35</v>
      </c>
      <c r="F479" s="2" t="s">
        <v>36</v>
      </c>
      <c r="G479" s="2" t="s">
        <v>37</v>
      </c>
      <c r="H479" s="2" t="s">
        <v>67</v>
      </c>
      <c r="I479" s="2" t="s">
        <v>53</v>
      </c>
      <c r="J479" s="2">
        <v>84085.59</v>
      </c>
      <c r="K479" s="2" t="s">
        <v>49</v>
      </c>
      <c r="L479" s="3">
        <v>45268</v>
      </c>
      <c r="M479" s="2" t="s">
        <v>24</v>
      </c>
      <c r="N479" s="2">
        <v>2036998.71</v>
      </c>
      <c r="O479" s="2" t="s">
        <v>25</v>
      </c>
      <c r="P479" s="5" t="str">
        <f t="shared" si="35"/>
        <v>2023-12</v>
      </c>
      <c r="Q479">
        <f t="shared" si="36"/>
        <v>84085.59</v>
      </c>
      <c r="R479">
        <f t="shared" si="37"/>
        <v>0</v>
      </c>
      <c r="S479" t="str">
        <f t="shared" si="38"/>
        <v>Cash-Based</v>
      </c>
      <c r="T479" t="str">
        <f t="shared" si="39"/>
        <v>One-Time User</v>
      </c>
    </row>
    <row r="480" spans="1:20" ht="15.75" customHeight="1" x14ac:dyDescent="0.3">
      <c r="A480" s="2" t="s">
        <v>1046</v>
      </c>
      <c r="B480" s="2">
        <v>613463</v>
      </c>
      <c r="C480" s="2" t="s">
        <v>1047</v>
      </c>
      <c r="D480" s="2">
        <v>350731897846</v>
      </c>
      <c r="E480" s="2" t="s">
        <v>18</v>
      </c>
      <c r="F480" s="2" t="s">
        <v>19</v>
      </c>
      <c r="G480" s="2" t="s">
        <v>20</v>
      </c>
      <c r="H480" s="2" t="s">
        <v>21</v>
      </c>
      <c r="I480" s="2" t="s">
        <v>53</v>
      </c>
      <c r="J480" s="2">
        <v>257896.04</v>
      </c>
      <c r="K480" s="2" t="s">
        <v>39</v>
      </c>
      <c r="L480" s="3">
        <v>45607</v>
      </c>
      <c r="M480" s="2" t="s">
        <v>168</v>
      </c>
      <c r="N480" s="2">
        <v>333007.69</v>
      </c>
      <c r="O480" s="2" t="s">
        <v>25</v>
      </c>
      <c r="P480" s="5" t="str">
        <f t="shared" si="35"/>
        <v>2024-11</v>
      </c>
      <c r="Q480">
        <f t="shared" si="36"/>
        <v>257896.04</v>
      </c>
      <c r="R480">
        <f t="shared" si="37"/>
        <v>0</v>
      </c>
      <c r="S480" t="str">
        <f t="shared" si="38"/>
        <v>Cash-Based</v>
      </c>
      <c r="T480" t="str">
        <f t="shared" si="39"/>
        <v>One-Time User</v>
      </c>
    </row>
    <row r="481" spans="1:20" ht="15.75" customHeight="1" x14ac:dyDescent="0.3">
      <c r="A481" s="2" t="s">
        <v>1048</v>
      </c>
      <c r="B481" s="2">
        <v>153582</v>
      </c>
      <c r="C481" s="2" t="s">
        <v>1049</v>
      </c>
      <c r="D481" s="2">
        <v>830198079057</v>
      </c>
      <c r="E481" s="2" t="s">
        <v>91</v>
      </c>
      <c r="F481" s="2" t="s">
        <v>92</v>
      </c>
      <c r="G481" s="2" t="s">
        <v>93</v>
      </c>
      <c r="H481" s="2" t="s">
        <v>70</v>
      </c>
      <c r="I481" s="2" t="s">
        <v>48</v>
      </c>
      <c r="J481" s="2">
        <v>142440</v>
      </c>
      <c r="K481" s="2" t="s">
        <v>32</v>
      </c>
      <c r="L481" s="3">
        <v>45560</v>
      </c>
      <c r="M481" s="2" t="s">
        <v>50</v>
      </c>
      <c r="N481" s="2">
        <v>778782.49</v>
      </c>
      <c r="O481" s="2" t="s">
        <v>25</v>
      </c>
      <c r="P481" s="5" t="str">
        <f t="shared" si="35"/>
        <v>2024-09</v>
      </c>
      <c r="Q481">
        <f t="shared" si="36"/>
        <v>142440</v>
      </c>
      <c r="R481">
        <f t="shared" si="37"/>
        <v>0</v>
      </c>
      <c r="S481" t="str">
        <f t="shared" si="38"/>
        <v>Cash-Based</v>
      </c>
      <c r="T481" t="str">
        <f t="shared" si="39"/>
        <v>One-Time User</v>
      </c>
    </row>
    <row r="482" spans="1:20" ht="15.75" customHeight="1" x14ac:dyDescent="0.3">
      <c r="A482" s="2" t="s">
        <v>1050</v>
      </c>
      <c r="B482" s="2">
        <v>100803</v>
      </c>
      <c r="C482" s="2" t="s">
        <v>1051</v>
      </c>
      <c r="D482" s="2">
        <v>343430050066</v>
      </c>
      <c r="E482" s="2" t="s">
        <v>18</v>
      </c>
      <c r="F482" s="2" t="s">
        <v>19</v>
      </c>
      <c r="G482" s="2" t="s">
        <v>20</v>
      </c>
      <c r="H482" s="2" t="s">
        <v>21</v>
      </c>
      <c r="I482" s="2" t="s">
        <v>48</v>
      </c>
      <c r="J482" s="2">
        <v>103601.04</v>
      </c>
      <c r="K482" s="2" t="s">
        <v>39</v>
      </c>
      <c r="L482" s="3">
        <v>45181</v>
      </c>
      <c r="M482" s="2" t="s">
        <v>24</v>
      </c>
      <c r="N482" s="2">
        <v>536358.44999999995</v>
      </c>
      <c r="O482" s="2" t="s">
        <v>25</v>
      </c>
      <c r="P482" s="5" t="str">
        <f t="shared" si="35"/>
        <v>2023-09</v>
      </c>
      <c r="Q482">
        <f t="shared" si="36"/>
        <v>103601.04</v>
      </c>
      <c r="R482">
        <f t="shared" si="37"/>
        <v>0</v>
      </c>
      <c r="S482" t="str">
        <f t="shared" si="38"/>
        <v>Cash-Based</v>
      </c>
      <c r="T482" t="str">
        <f t="shared" si="39"/>
        <v>One-Time User</v>
      </c>
    </row>
    <row r="483" spans="1:20" ht="15.75" customHeight="1" x14ac:dyDescent="0.3">
      <c r="A483" s="2" t="s">
        <v>1052</v>
      </c>
      <c r="B483" s="2">
        <v>520243</v>
      </c>
      <c r="C483" s="2" t="s">
        <v>1053</v>
      </c>
      <c r="D483" s="2">
        <v>340851237938</v>
      </c>
      <c r="E483" s="2" t="s">
        <v>28</v>
      </c>
      <c r="F483" s="2" t="s">
        <v>150</v>
      </c>
      <c r="G483" s="2" t="s">
        <v>151</v>
      </c>
      <c r="H483" s="2" t="s">
        <v>31</v>
      </c>
      <c r="I483" s="2" t="s">
        <v>22</v>
      </c>
      <c r="J483" s="2">
        <v>556413.30000000005</v>
      </c>
      <c r="K483" s="2" t="s">
        <v>39</v>
      </c>
      <c r="L483" s="3">
        <v>45825</v>
      </c>
      <c r="M483" s="2" t="s">
        <v>24</v>
      </c>
      <c r="N483" s="2">
        <v>1461132.13</v>
      </c>
      <c r="O483" s="2" t="s">
        <v>25</v>
      </c>
      <c r="P483" s="5" t="str">
        <f t="shared" si="35"/>
        <v>2025-06</v>
      </c>
      <c r="Q483">
        <f t="shared" si="36"/>
        <v>556413.30000000005</v>
      </c>
      <c r="R483">
        <f t="shared" si="37"/>
        <v>0</v>
      </c>
      <c r="S483" t="str">
        <f t="shared" si="38"/>
        <v>Cash-Based</v>
      </c>
      <c r="T483" t="str">
        <f t="shared" si="39"/>
        <v>One-Time User</v>
      </c>
    </row>
    <row r="484" spans="1:20" ht="15.75" customHeight="1" x14ac:dyDescent="0.3">
      <c r="A484" s="2" t="s">
        <v>1054</v>
      </c>
      <c r="B484" s="2">
        <v>314894</v>
      </c>
      <c r="C484" s="2" t="s">
        <v>1055</v>
      </c>
      <c r="D484" s="2">
        <v>751158319736</v>
      </c>
      <c r="E484" s="2" t="s">
        <v>64</v>
      </c>
      <c r="F484" s="2" t="s">
        <v>177</v>
      </c>
      <c r="G484" s="2" t="s">
        <v>178</v>
      </c>
      <c r="H484" s="2" t="s">
        <v>67</v>
      </c>
      <c r="I484" s="2" t="s">
        <v>48</v>
      </c>
      <c r="J484" s="2">
        <v>4495.21</v>
      </c>
      <c r="K484" s="2" t="s">
        <v>32</v>
      </c>
      <c r="L484" s="3">
        <v>45185</v>
      </c>
      <c r="M484" s="2" t="s">
        <v>24</v>
      </c>
      <c r="N484" s="2">
        <v>275353.39</v>
      </c>
      <c r="O484" s="2" t="s">
        <v>25</v>
      </c>
      <c r="P484" s="5" t="str">
        <f t="shared" si="35"/>
        <v>2023-09</v>
      </c>
      <c r="Q484">
        <f t="shared" si="36"/>
        <v>4495.21</v>
      </c>
      <c r="R484">
        <f t="shared" si="37"/>
        <v>0</v>
      </c>
      <c r="S484" t="str">
        <f t="shared" si="38"/>
        <v>Cash-Based</v>
      </c>
      <c r="T484" t="str">
        <f t="shared" si="39"/>
        <v>One-Time User</v>
      </c>
    </row>
    <row r="485" spans="1:20" ht="15.75" customHeight="1" x14ac:dyDescent="0.3">
      <c r="A485" s="2" t="s">
        <v>1056</v>
      </c>
      <c r="B485" s="2">
        <v>779817</v>
      </c>
      <c r="C485" s="2" t="s">
        <v>1057</v>
      </c>
      <c r="D485" s="2">
        <v>549818142528</v>
      </c>
      <c r="E485" s="2" t="s">
        <v>18</v>
      </c>
      <c r="F485" s="2" t="s">
        <v>46</v>
      </c>
      <c r="G485" s="2" t="s">
        <v>47</v>
      </c>
      <c r="H485" s="2" t="s">
        <v>21</v>
      </c>
      <c r="I485" s="2" t="s">
        <v>22</v>
      </c>
      <c r="J485" s="2">
        <v>125743.7</v>
      </c>
      <c r="K485" s="2" t="s">
        <v>39</v>
      </c>
      <c r="L485" s="3">
        <v>45624</v>
      </c>
      <c r="M485" s="2" t="s">
        <v>50</v>
      </c>
      <c r="N485" s="2">
        <v>1452499.81</v>
      </c>
      <c r="O485" s="2" t="s">
        <v>25</v>
      </c>
      <c r="P485" s="5" t="str">
        <f t="shared" si="35"/>
        <v>2024-11</v>
      </c>
      <c r="Q485">
        <f t="shared" si="36"/>
        <v>125743.7</v>
      </c>
      <c r="R485">
        <f t="shared" si="37"/>
        <v>0</v>
      </c>
      <c r="S485" t="str">
        <f t="shared" si="38"/>
        <v>Cash-Based</v>
      </c>
      <c r="T485" t="str">
        <f t="shared" si="39"/>
        <v>One-Time User</v>
      </c>
    </row>
    <row r="486" spans="1:20" ht="15.75" customHeight="1" x14ac:dyDescent="0.3">
      <c r="A486" s="2" t="s">
        <v>1058</v>
      </c>
      <c r="B486" s="2">
        <v>682271</v>
      </c>
      <c r="C486" s="2" t="s">
        <v>1059</v>
      </c>
      <c r="D486" s="2">
        <v>911510411130</v>
      </c>
      <c r="E486" s="2" t="s">
        <v>18</v>
      </c>
      <c r="F486" s="2" t="s">
        <v>156</v>
      </c>
      <c r="G486" s="2" t="s">
        <v>157</v>
      </c>
      <c r="H486" s="2" t="s">
        <v>70</v>
      </c>
      <c r="I486" s="2" t="s">
        <v>22</v>
      </c>
      <c r="J486" s="2">
        <v>420581.41</v>
      </c>
      <c r="K486" s="2" t="s">
        <v>98</v>
      </c>
      <c r="L486" s="3">
        <v>45699</v>
      </c>
      <c r="M486" s="2" t="s">
        <v>24</v>
      </c>
      <c r="N486" s="2">
        <v>893133.07</v>
      </c>
      <c r="O486" s="2" t="s">
        <v>25</v>
      </c>
      <c r="P486" s="5" t="str">
        <f t="shared" si="35"/>
        <v>2025-02</v>
      </c>
      <c r="Q486">
        <f t="shared" si="36"/>
        <v>420581.41</v>
      </c>
      <c r="R486">
        <f t="shared" si="37"/>
        <v>0</v>
      </c>
      <c r="S486" t="str">
        <f t="shared" si="38"/>
        <v>Cash-Based</v>
      </c>
      <c r="T486" t="str">
        <f t="shared" si="39"/>
        <v>One-Time User</v>
      </c>
    </row>
    <row r="487" spans="1:20" ht="15.75" customHeight="1" x14ac:dyDescent="0.3">
      <c r="A487" s="2" t="s">
        <v>1060</v>
      </c>
      <c r="B487" s="2">
        <v>132455</v>
      </c>
      <c r="C487" s="2" t="s">
        <v>1061</v>
      </c>
      <c r="D487" s="2">
        <v>378333556205</v>
      </c>
      <c r="E487" s="2" t="s">
        <v>91</v>
      </c>
      <c r="F487" s="2" t="s">
        <v>162</v>
      </c>
      <c r="G487" s="2" t="s">
        <v>163</v>
      </c>
      <c r="H487" s="2" t="s">
        <v>70</v>
      </c>
      <c r="I487" s="2" t="s">
        <v>38</v>
      </c>
      <c r="J487" s="2">
        <v>49848.98</v>
      </c>
      <c r="K487" s="2" t="s">
        <v>49</v>
      </c>
      <c r="L487" s="3">
        <v>45438</v>
      </c>
      <c r="M487" s="2" t="s">
        <v>24</v>
      </c>
      <c r="N487" s="2">
        <v>1288147.47</v>
      </c>
      <c r="O487" s="2" t="s">
        <v>25</v>
      </c>
      <c r="P487" s="5" t="str">
        <f t="shared" si="35"/>
        <v>2024-05</v>
      </c>
      <c r="Q487">
        <f t="shared" si="36"/>
        <v>-49848.98</v>
      </c>
      <c r="R487">
        <f t="shared" si="37"/>
        <v>0</v>
      </c>
      <c r="S487" t="str">
        <f t="shared" si="38"/>
        <v>Cash-Based</v>
      </c>
      <c r="T487" t="str">
        <f t="shared" si="39"/>
        <v>One-Time User</v>
      </c>
    </row>
    <row r="488" spans="1:20" ht="15.75" customHeight="1" x14ac:dyDescent="0.3">
      <c r="A488" s="2" t="s">
        <v>1062</v>
      </c>
      <c r="B488" s="2">
        <v>568353</v>
      </c>
      <c r="C488" s="2" t="s">
        <v>1063</v>
      </c>
      <c r="D488" s="2">
        <v>143654336794</v>
      </c>
      <c r="E488" s="2" t="s">
        <v>64</v>
      </c>
      <c r="F488" s="2" t="s">
        <v>146</v>
      </c>
      <c r="G488" s="2" t="s">
        <v>147</v>
      </c>
      <c r="H488" s="2" t="s">
        <v>31</v>
      </c>
      <c r="I488" s="2" t="s">
        <v>22</v>
      </c>
      <c r="J488" s="2">
        <v>197544.78</v>
      </c>
      <c r="K488" s="2" t="s">
        <v>49</v>
      </c>
      <c r="L488" s="3">
        <v>45207</v>
      </c>
      <c r="M488" s="2" t="s">
        <v>168</v>
      </c>
      <c r="N488" s="2">
        <v>868558.72</v>
      </c>
      <c r="O488" s="2" t="s">
        <v>25</v>
      </c>
      <c r="P488" s="5" t="str">
        <f t="shared" si="35"/>
        <v>2023-10</v>
      </c>
      <c r="Q488">
        <f t="shared" si="36"/>
        <v>197544.78</v>
      </c>
      <c r="R488">
        <f t="shared" si="37"/>
        <v>0</v>
      </c>
      <c r="S488" t="str">
        <f t="shared" si="38"/>
        <v>Cash-Based</v>
      </c>
      <c r="T488" t="str">
        <f t="shared" si="39"/>
        <v>One-Time User</v>
      </c>
    </row>
    <row r="489" spans="1:20" ht="15.75" customHeight="1" x14ac:dyDescent="0.3">
      <c r="A489" s="2" t="s">
        <v>1064</v>
      </c>
      <c r="B489" s="2">
        <v>802444</v>
      </c>
      <c r="C489" s="2" t="s">
        <v>1065</v>
      </c>
      <c r="D489" s="2">
        <v>582762750258</v>
      </c>
      <c r="E489" s="2" t="s">
        <v>28</v>
      </c>
      <c r="F489" s="2" t="s">
        <v>192</v>
      </c>
      <c r="G489" s="2" t="s">
        <v>193</v>
      </c>
      <c r="H489" s="2" t="s">
        <v>67</v>
      </c>
      <c r="I489" s="2" t="s">
        <v>38</v>
      </c>
      <c r="J489" s="2">
        <v>141177.64000000001</v>
      </c>
      <c r="K489" s="2" t="s">
        <v>23</v>
      </c>
      <c r="L489" s="3">
        <v>45587</v>
      </c>
      <c r="M489" s="2" t="s">
        <v>24</v>
      </c>
      <c r="N489" s="2">
        <v>1843493.98</v>
      </c>
      <c r="O489" s="2" t="s">
        <v>25</v>
      </c>
      <c r="P489" s="5" t="str">
        <f t="shared" si="35"/>
        <v>2024-10</v>
      </c>
      <c r="Q489">
        <f t="shared" si="36"/>
        <v>-141177.64000000001</v>
      </c>
      <c r="R489">
        <f t="shared" si="37"/>
        <v>0</v>
      </c>
      <c r="S489" t="str">
        <f t="shared" si="38"/>
        <v>Digital</v>
      </c>
      <c r="T489" t="str">
        <f t="shared" si="39"/>
        <v>One-Time User</v>
      </c>
    </row>
    <row r="490" spans="1:20" ht="15.75" customHeight="1" x14ac:dyDescent="0.3">
      <c r="A490" s="2" t="s">
        <v>1066</v>
      </c>
      <c r="B490" s="2">
        <v>978548</v>
      </c>
      <c r="C490" s="2" t="s">
        <v>1067</v>
      </c>
      <c r="D490" s="2">
        <v>331032149981</v>
      </c>
      <c r="E490" s="2" t="s">
        <v>64</v>
      </c>
      <c r="F490" s="2" t="s">
        <v>83</v>
      </c>
      <c r="G490" s="2" t="s">
        <v>84</v>
      </c>
      <c r="H490" s="2" t="s">
        <v>67</v>
      </c>
      <c r="I490" s="2" t="s">
        <v>22</v>
      </c>
      <c r="J490" s="2">
        <v>50422.44</v>
      </c>
      <c r="K490" s="2" t="s">
        <v>98</v>
      </c>
      <c r="L490" s="3">
        <v>45670</v>
      </c>
      <c r="M490" s="2" t="s">
        <v>24</v>
      </c>
      <c r="N490" s="2">
        <v>322201.67</v>
      </c>
      <c r="O490" s="2" t="s">
        <v>25</v>
      </c>
      <c r="P490" s="5" t="str">
        <f t="shared" si="35"/>
        <v>2025-01</v>
      </c>
      <c r="Q490">
        <f t="shared" si="36"/>
        <v>50422.44</v>
      </c>
      <c r="R490">
        <f t="shared" si="37"/>
        <v>0</v>
      </c>
      <c r="S490" t="str">
        <f t="shared" si="38"/>
        <v>Cash-Based</v>
      </c>
      <c r="T490" t="str">
        <f t="shared" si="39"/>
        <v>One-Time User</v>
      </c>
    </row>
    <row r="491" spans="1:20" ht="15.75" customHeight="1" x14ac:dyDescent="0.3">
      <c r="A491" s="2" t="s">
        <v>1068</v>
      </c>
      <c r="B491" s="2">
        <v>851257</v>
      </c>
      <c r="C491" s="2" t="s">
        <v>1069</v>
      </c>
      <c r="D491" s="2">
        <v>990997552935</v>
      </c>
      <c r="E491" s="2" t="s">
        <v>35</v>
      </c>
      <c r="F491" s="2" t="s">
        <v>73</v>
      </c>
      <c r="G491" s="2" t="s">
        <v>74</v>
      </c>
      <c r="H491" s="2" t="s">
        <v>70</v>
      </c>
      <c r="I491" s="2" t="s">
        <v>53</v>
      </c>
      <c r="J491" s="2">
        <v>342132.86</v>
      </c>
      <c r="K491" s="2" t="s">
        <v>23</v>
      </c>
      <c r="L491" s="3">
        <v>45164</v>
      </c>
      <c r="M491" s="2" t="s">
        <v>24</v>
      </c>
      <c r="N491" s="2">
        <v>884872.35</v>
      </c>
      <c r="O491" s="2" t="s">
        <v>25</v>
      </c>
      <c r="P491" s="5" t="str">
        <f t="shared" si="35"/>
        <v>2023-08</v>
      </c>
      <c r="Q491">
        <f t="shared" si="36"/>
        <v>342132.86</v>
      </c>
      <c r="R491">
        <f t="shared" si="37"/>
        <v>0</v>
      </c>
      <c r="S491" t="str">
        <f t="shared" si="38"/>
        <v>Digital</v>
      </c>
      <c r="T491" t="str">
        <f t="shared" si="39"/>
        <v>One-Time User</v>
      </c>
    </row>
    <row r="492" spans="1:20" ht="15.75" customHeight="1" x14ac:dyDescent="0.3">
      <c r="A492" s="2" t="s">
        <v>1070</v>
      </c>
      <c r="B492" s="2">
        <v>795373</v>
      </c>
      <c r="C492" s="2" t="s">
        <v>1071</v>
      </c>
      <c r="D492" s="2">
        <v>289850951999</v>
      </c>
      <c r="E492" s="2" t="s">
        <v>28</v>
      </c>
      <c r="F492" s="2" t="s">
        <v>79</v>
      </c>
      <c r="G492" s="2" t="s">
        <v>80</v>
      </c>
      <c r="H492" s="2" t="s">
        <v>31</v>
      </c>
      <c r="I492" s="2" t="s">
        <v>48</v>
      </c>
      <c r="J492" s="2">
        <v>232001.45</v>
      </c>
      <c r="K492" s="2" t="s">
        <v>49</v>
      </c>
      <c r="L492" s="3">
        <v>45680</v>
      </c>
      <c r="M492" s="2" t="s">
        <v>24</v>
      </c>
      <c r="N492" s="2">
        <v>669999.41</v>
      </c>
      <c r="O492" s="2" t="s">
        <v>25</v>
      </c>
      <c r="P492" s="5" t="str">
        <f t="shared" si="35"/>
        <v>2025-01</v>
      </c>
      <c r="Q492">
        <f t="shared" si="36"/>
        <v>232001.45</v>
      </c>
      <c r="R492">
        <f t="shared" si="37"/>
        <v>0</v>
      </c>
      <c r="S492" t="str">
        <f t="shared" si="38"/>
        <v>Cash-Based</v>
      </c>
      <c r="T492" t="str">
        <f t="shared" si="39"/>
        <v>One-Time User</v>
      </c>
    </row>
    <row r="493" spans="1:20" ht="15.75" customHeight="1" x14ac:dyDescent="0.3">
      <c r="A493" s="2" t="s">
        <v>1072</v>
      </c>
      <c r="B493" s="2">
        <v>117914</v>
      </c>
      <c r="C493" s="2" t="s">
        <v>1073</v>
      </c>
      <c r="D493" s="2">
        <v>764425244728</v>
      </c>
      <c r="E493" s="2" t="s">
        <v>18</v>
      </c>
      <c r="F493" s="2" t="s">
        <v>56</v>
      </c>
      <c r="G493" s="2" t="s">
        <v>57</v>
      </c>
      <c r="H493" s="2" t="s">
        <v>31</v>
      </c>
      <c r="I493" s="2" t="s">
        <v>38</v>
      </c>
      <c r="J493" s="2">
        <v>109038.03</v>
      </c>
      <c r="K493" s="2" t="s">
        <v>98</v>
      </c>
      <c r="L493" s="3">
        <v>45303</v>
      </c>
      <c r="M493" s="2" t="s">
        <v>24</v>
      </c>
      <c r="N493" s="2">
        <v>1219596.98</v>
      </c>
      <c r="O493" s="2" t="s">
        <v>25</v>
      </c>
      <c r="P493" s="5" t="str">
        <f t="shared" si="35"/>
        <v>2024-01</v>
      </c>
      <c r="Q493">
        <f t="shared" si="36"/>
        <v>-109038.03</v>
      </c>
      <c r="R493">
        <f t="shared" si="37"/>
        <v>0</v>
      </c>
      <c r="S493" t="str">
        <f t="shared" si="38"/>
        <v>Cash-Based</v>
      </c>
      <c r="T493" t="str">
        <f t="shared" si="39"/>
        <v>One-Time User</v>
      </c>
    </row>
    <row r="494" spans="1:20" ht="15.75" customHeight="1" x14ac:dyDescent="0.3">
      <c r="A494" s="2" t="s">
        <v>1074</v>
      </c>
      <c r="B494" s="2">
        <v>648879</v>
      </c>
      <c r="C494" s="2" t="s">
        <v>1075</v>
      </c>
      <c r="D494" s="2">
        <v>504085367461</v>
      </c>
      <c r="E494" s="2" t="s">
        <v>91</v>
      </c>
      <c r="F494" s="2" t="s">
        <v>92</v>
      </c>
      <c r="G494" s="2" t="s">
        <v>93</v>
      </c>
      <c r="H494" s="2" t="s">
        <v>67</v>
      </c>
      <c r="I494" s="2" t="s">
        <v>53</v>
      </c>
      <c r="J494" s="2">
        <v>475452.83</v>
      </c>
      <c r="K494" s="2" t="s">
        <v>39</v>
      </c>
      <c r="L494" s="3">
        <v>45256</v>
      </c>
      <c r="M494" s="2" t="s">
        <v>113</v>
      </c>
      <c r="N494" s="2">
        <v>917029.60000000009</v>
      </c>
      <c r="O494" s="2" t="s">
        <v>25</v>
      </c>
      <c r="P494" s="5" t="str">
        <f t="shared" si="35"/>
        <v>2023-11</v>
      </c>
      <c r="Q494">
        <f t="shared" si="36"/>
        <v>475452.83</v>
      </c>
      <c r="R494">
        <f t="shared" si="37"/>
        <v>0</v>
      </c>
      <c r="S494" t="str">
        <f t="shared" si="38"/>
        <v>Cash-Based</v>
      </c>
      <c r="T494" t="str">
        <f t="shared" si="39"/>
        <v>One-Time User</v>
      </c>
    </row>
    <row r="495" spans="1:20" ht="15.75" customHeight="1" x14ac:dyDescent="0.3">
      <c r="A495" s="2" t="s">
        <v>1076</v>
      </c>
      <c r="B495" s="2">
        <v>128077</v>
      </c>
      <c r="C495" s="2" t="s">
        <v>1077</v>
      </c>
      <c r="D495" s="2">
        <v>252386211751</v>
      </c>
      <c r="E495" s="2" t="s">
        <v>28</v>
      </c>
      <c r="F495" s="2" t="s">
        <v>192</v>
      </c>
      <c r="G495" s="2" t="s">
        <v>193</v>
      </c>
      <c r="H495" s="2" t="s">
        <v>70</v>
      </c>
      <c r="I495" s="2" t="s">
        <v>48</v>
      </c>
      <c r="J495" s="2">
        <v>281600.58</v>
      </c>
      <c r="K495" s="2" t="s">
        <v>23</v>
      </c>
      <c r="L495" s="3">
        <v>45150</v>
      </c>
      <c r="M495" s="2" t="s">
        <v>24</v>
      </c>
      <c r="N495" s="2">
        <v>2051395.59</v>
      </c>
      <c r="O495" s="2" t="s">
        <v>25</v>
      </c>
      <c r="P495" s="5" t="str">
        <f t="shared" si="35"/>
        <v>2023-08</v>
      </c>
      <c r="Q495">
        <f t="shared" si="36"/>
        <v>281600.58</v>
      </c>
      <c r="R495">
        <f t="shared" si="37"/>
        <v>0</v>
      </c>
      <c r="S495" t="str">
        <f t="shared" si="38"/>
        <v>Digital</v>
      </c>
      <c r="T495" t="str">
        <f t="shared" si="39"/>
        <v>One-Time User</v>
      </c>
    </row>
    <row r="496" spans="1:20" ht="15.75" customHeight="1" x14ac:dyDescent="0.3">
      <c r="A496" s="2" t="s">
        <v>1078</v>
      </c>
      <c r="B496" s="2">
        <v>882387</v>
      </c>
      <c r="C496" s="2" t="s">
        <v>1079</v>
      </c>
      <c r="D496" s="2">
        <v>732722911089</v>
      </c>
      <c r="E496" s="2" t="s">
        <v>35</v>
      </c>
      <c r="F496" s="2" t="s">
        <v>42</v>
      </c>
      <c r="G496" s="2" t="s">
        <v>43</v>
      </c>
      <c r="H496" s="2" t="s">
        <v>21</v>
      </c>
      <c r="I496" s="2" t="s">
        <v>48</v>
      </c>
      <c r="J496" s="2">
        <v>44124.36</v>
      </c>
      <c r="K496" s="2" t="s">
        <v>98</v>
      </c>
      <c r="L496" s="3">
        <v>45597</v>
      </c>
      <c r="M496" s="2" t="s">
        <v>168</v>
      </c>
      <c r="N496" s="2">
        <v>1627631.54</v>
      </c>
      <c r="O496" s="2" t="s">
        <v>25</v>
      </c>
      <c r="P496" s="5" t="str">
        <f t="shared" si="35"/>
        <v>2024-11</v>
      </c>
      <c r="Q496">
        <f t="shared" si="36"/>
        <v>44124.36</v>
      </c>
      <c r="R496">
        <f t="shared" si="37"/>
        <v>0</v>
      </c>
      <c r="S496" t="str">
        <f t="shared" si="38"/>
        <v>Cash-Based</v>
      </c>
      <c r="T496" t="str">
        <f t="shared" si="39"/>
        <v>One-Time User</v>
      </c>
    </row>
    <row r="497" spans="1:20" ht="15.75" customHeight="1" x14ac:dyDescent="0.3">
      <c r="A497" s="2" t="s">
        <v>1080</v>
      </c>
      <c r="B497" s="2">
        <v>372576</v>
      </c>
      <c r="C497" s="2" t="s">
        <v>1081</v>
      </c>
      <c r="D497" s="2">
        <v>450052315274</v>
      </c>
      <c r="E497" s="2" t="s">
        <v>64</v>
      </c>
      <c r="F497" s="2" t="s">
        <v>83</v>
      </c>
      <c r="G497" s="2" t="s">
        <v>84</v>
      </c>
      <c r="H497" s="2" t="s">
        <v>31</v>
      </c>
      <c r="I497" s="2" t="s">
        <v>48</v>
      </c>
      <c r="J497" s="2">
        <v>16012.31</v>
      </c>
      <c r="K497" s="2" t="s">
        <v>32</v>
      </c>
      <c r="L497" s="3">
        <v>45422</v>
      </c>
      <c r="M497" s="2" t="s">
        <v>113</v>
      </c>
      <c r="N497" s="2">
        <v>1116498.8999999999</v>
      </c>
      <c r="O497" s="2" t="s">
        <v>25</v>
      </c>
      <c r="P497" s="5" t="str">
        <f t="shared" si="35"/>
        <v>2024-05</v>
      </c>
      <c r="Q497">
        <f t="shared" si="36"/>
        <v>16012.31</v>
      </c>
      <c r="R497">
        <f t="shared" si="37"/>
        <v>0</v>
      </c>
      <c r="S497" t="str">
        <f t="shared" si="38"/>
        <v>Cash-Based</v>
      </c>
      <c r="T497" t="str">
        <f t="shared" si="39"/>
        <v>One-Time User</v>
      </c>
    </row>
    <row r="498" spans="1:20" ht="15.75" customHeight="1" x14ac:dyDescent="0.3">
      <c r="A498" s="2" t="s">
        <v>1082</v>
      </c>
      <c r="B498" s="2">
        <v>973339</v>
      </c>
      <c r="C498" s="2" t="s">
        <v>1083</v>
      </c>
      <c r="D498" s="2">
        <v>617919454254</v>
      </c>
      <c r="E498" s="2" t="s">
        <v>35</v>
      </c>
      <c r="F498" s="2" t="s">
        <v>60</v>
      </c>
      <c r="G498" s="2" t="s">
        <v>61</v>
      </c>
      <c r="H498" s="2" t="s">
        <v>31</v>
      </c>
      <c r="I498" s="2" t="s">
        <v>38</v>
      </c>
      <c r="J498" s="2">
        <v>129630.37</v>
      </c>
      <c r="K498" s="2" t="s">
        <v>49</v>
      </c>
      <c r="L498" s="3">
        <v>45323</v>
      </c>
      <c r="M498" s="2" t="s">
        <v>24</v>
      </c>
      <c r="N498" s="2">
        <v>1652562.49</v>
      </c>
      <c r="O498" s="2" t="s">
        <v>25</v>
      </c>
      <c r="P498" s="5" t="str">
        <f t="shared" si="35"/>
        <v>2024-02</v>
      </c>
      <c r="Q498">
        <f t="shared" si="36"/>
        <v>-129630.37</v>
      </c>
      <c r="R498">
        <f t="shared" si="37"/>
        <v>0</v>
      </c>
      <c r="S498" t="str">
        <f t="shared" si="38"/>
        <v>Cash-Based</v>
      </c>
      <c r="T498" t="str">
        <f t="shared" si="39"/>
        <v>One-Time User</v>
      </c>
    </row>
    <row r="499" spans="1:20" ht="15.75" customHeight="1" x14ac:dyDescent="0.3">
      <c r="A499" s="2" t="s">
        <v>1084</v>
      </c>
      <c r="B499" s="2">
        <v>227576</v>
      </c>
      <c r="C499" s="2" t="s">
        <v>1085</v>
      </c>
      <c r="D499" s="2">
        <v>369866165241</v>
      </c>
      <c r="E499" s="2" t="s">
        <v>64</v>
      </c>
      <c r="F499" s="2" t="s">
        <v>65</v>
      </c>
      <c r="G499" s="2" t="s">
        <v>66</v>
      </c>
      <c r="H499" s="2" t="s">
        <v>21</v>
      </c>
      <c r="I499" s="2" t="s">
        <v>22</v>
      </c>
      <c r="J499" s="2">
        <v>307632.5</v>
      </c>
      <c r="K499" s="2" t="s">
        <v>98</v>
      </c>
      <c r="L499" s="3">
        <v>45407</v>
      </c>
      <c r="M499" s="2" t="s">
        <v>24</v>
      </c>
      <c r="N499" s="2">
        <v>448240.99</v>
      </c>
      <c r="O499" s="2" t="s">
        <v>25</v>
      </c>
      <c r="P499" s="5" t="str">
        <f t="shared" si="35"/>
        <v>2024-04</v>
      </c>
      <c r="Q499">
        <f t="shared" si="36"/>
        <v>307632.5</v>
      </c>
      <c r="R499">
        <f t="shared" si="37"/>
        <v>0</v>
      </c>
      <c r="S499" t="str">
        <f t="shared" si="38"/>
        <v>Cash-Based</v>
      </c>
      <c r="T499" t="str">
        <f t="shared" si="39"/>
        <v>One-Time User</v>
      </c>
    </row>
    <row r="500" spans="1:20" ht="15.75" customHeight="1" x14ac:dyDescent="0.3">
      <c r="A500" s="2" t="s">
        <v>1086</v>
      </c>
      <c r="B500" s="2">
        <v>209976</v>
      </c>
      <c r="C500" s="2" t="s">
        <v>1087</v>
      </c>
      <c r="D500" s="2">
        <v>238320682537</v>
      </c>
      <c r="E500" s="2" t="s">
        <v>64</v>
      </c>
      <c r="F500" s="2" t="s">
        <v>83</v>
      </c>
      <c r="G500" s="2" t="s">
        <v>84</v>
      </c>
      <c r="H500" s="2" t="s">
        <v>67</v>
      </c>
      <c r="I500" s="2" t="s">
        <v>53</v>
      </c>
      <c r="J500" s="2">
        <v>345920.42</v>
      </c>
      <c r="K500" s="2" t="s">
        <v>49</v>
      </c>
      <c r="L500" s="3">
        <v>45535</v>
      </c>
      <c r="M500" s="2" t="s">
        <v>24</v>
      </c>
      <c r="N500" s="2">
        <v>1012522.46</v>
      </c>
      <c r="O500" s="2" t="s">
        <v>25</v>
      </c>
      <c r="P500" s="5" t="str">
        <f>TEXT(L500,"yyyy-mm")</f>
        <v>2024-08</v>
      </c>
      <c r="Q500">
        <f t="shared" si="36"/>
        <v>345920.42</v>
      </c>
      <c r="R500">
        <f t="shared" si="37"/>
        <v>0</v>
      </c>
      <c r="S500" t="str">
        <f t="shared" si="38"/>
        <v>Cash-Based</v>
      </c>
      <c r="T500" t="str">
        <f t="shared" si="39"/>
        <v>One-Time User</v>
      </c>
    </row>
    <row r="501" spans="1:20" ht="15.75" customHeight="1" x14ac:dyDescent="0.3">
      <c r="A501" s="2" t="s">
        <v>1088</v>
      </c>
      <c r="B501" s="2">
        <v>429704</v>
      </c>
      <c r="C501" s="2" t="s">
        <v>1089</v>
      </c>
      <c r="D501" s="2">
        <v>127631697094</v>
      </c>
      <c r="E501" s="2" t="s">
        <v>18</v>
      </c>
      <c r="F501" s="2" t="s">
        <v>156</v>
      </c>
      <c r="G501" s="2" t="s">
        <v>157</v>
      </c>
      <c r="H501" s="2" t="s">
        <v>67</v>
      </c>
      <c r="I501" s="2" t="s">
        <v>48</v>
      </c>
      <c r="J501" s="2">
        <v>140084.76999999999</v>
      </c>
      <c r="K501" s="2" t="s">
        <v>39</v>
      </c>
      <c r="L501" s="3">
        <v>45842</v>
      </c>
      <c r="M501" s="2" t="s">
        <v>24</v>
      </c>
      <c r="N501" s="2">
        <v>1217164.3999999999</v>
      </c>
      <c r="O501" s="2" t="s">
        <v>25</v>
      </c>
      <c r="P501" s="5" t="str">
        <f t="shared" ref="P501" si="40">TEXT(L501,"yyyy-mm")</f>
        <v>2025-07</v>
      </c>
      <c r="Q501">
        <f t="shared" si="36"/>
        <v>140084.76999999999</v>
      </c>
      <c r="R501">
        <f t="shared" si="37"/>
        <v>0</v>
      </c>
      <c r="S501" t="str">
        <f t="shared" si="38"/>
        <v>Cash-Based</v>
      </c>
      <c r="T501" t="str">
        <f t="shared" si="39"/>
        <v>One-Time User</v>
      </c>
    </row>
    <row r="502" spans="1:20" ht="15.75" customHeight="1" x14ac:dyDescent="0.3"/>
    <row r="503" spans="1:20" ht="15.75" customHeight="1" x14ac:dyDescent="0.3"/>
    <row r="504" spans="1:20" ht="15.75" customHeight="1" x14ac:dyDescent="0.3"/>
    <row r="505" spans="1:20" ht="15.75" customHeight="1" x14ac:dyDescent="0.3"/>
    <row r="506" spans="1:20" ht="15.75" customHeight="1" x14ac:dyDescent="0.3"/>
    <row r="507" spans="1:20" ht="15.75" customHeight="1" x14ac:dyDescent="0.3"/>
    <row r="508" spans="1:20" ht="15.75" customHeight="1" x14ac:dyDescent="0.3"/>
    <row r="509" spans="1:20" ht="15.75" customHeight="1" x14ac:dyDescent="0.3"/>
    <row r="510" spans="1:20" ht="15.75" customHeight="1" x14ac:dyDescent="0.3"/>
    <row r="511" spans="1:20" ht="15.75" customHeight="1" x14ac:dyDescent="0.3"/>
    <row r="512" spans="1:20"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P501" xr:uid="{00000000-0001-0000-0000-000000000000}"/>
  <phoneticPr fontId="5" type="noConversion"/>
  <conditionalFormatting sqref="A1:A1048576">
    <cfRule type="duplicateValues" dxfId="0" priority="1"/>
  </conditionalFormatting>
  <pageMargins left="0.75" right="0.75" top="1" bottom="1"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BC2243-4A90-4A9C-9C13-CCA07D0813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vt:lpstr>
      <vt:lpstr>Analysis</vt:lpstr>
      <vt:lpstr>Dashboard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Rayapati Susmitha</cp:lastModifiedBy>
  <cp:lastPrinted>2026-09-05T18:42:33Z</cp:lastPrinted>
  <dcterms:created xsi:type="dcterms:W3CDTF">2025-07-11T03:45:20Z</dcterms:created>
  <dcterms:modified xsi:type="dcterms:W3CDTF">2026-09-05T18:50:25Z</dcterms:modified>
</cp:coreProperties>
</file>